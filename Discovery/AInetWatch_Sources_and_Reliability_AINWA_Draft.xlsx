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9e190a08d41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Reliability" sheetId="1" r:id="R513c3b3c6d054f4f"/>
    <x:sheet xmlns:r="http://schemas.openxmlformats.org/officeDocument/2006/relationships" name="Sheet1" sheetId="2" r:id="Ra0a1e5cc6e33466e"/>
    <x:sheet xmlns:r="http://schemas.openxmlformats.org/officeDocument/2006/relationships" name="AINWA Overview" sheetId="3" r:id="R9843d151cf0e4b9e"/>
    <x:sheet xmlns:r="http://schemas.openxmlformats.org/officeDocument/2006/relationships" name="AINWA Registry" sheetId="4" r:id="R128767a2484e460d"/>
    <x:sheet xmlns:r="http://schemas.openxmlformats.org/officeDocument/2006/relationships" name="Discovery Policy" sheetId="5" r:id="Rc245ba577c974b79"/>
    <x:sheet xmlns:r="http://schemas.openxmlformats.org/officeDocument/2006/relationships" name="AINWA Workflow" sheetId="6" r:id="Ra828991622984104"/>
    <x:sheet xmlns:r="http://schemas.openxmlformats.org/officeDocument/2006/relationships" name="Source Performance" sheetId="7" r:id="R7625dd2ee70f4b79"/>
    <x:sheet xmlns:r="http://schemas.openxmlformats.org/officeDocument/2006/relationships" name="Project Reconciliation" sheetId="8" r:id="Rcb468287b1104061"/>
    <x:sheet xmlns:r="http://schemas.openxmlformats.org/officeDocument/2006/relationships" name="Lists" sheetId="9" r:id="R3b0fc4a2278b4fc3"/>
  </x:sheets>
</x:workbook>
</file>

<file path=xl/sharedStrings.xml><?xml version="1.0" encoding="utf-8"?>
<x:sst xmlns:x="http://schemas.openxmlformats.org/spreadsheetml/2006/main">
  <x:si>
    <x:t xml:space="preserve">AInetWatch — News Source Reliability Assessment</x:t>
  </x:si>
  <x:si>
    <x:t xml:space="preserve">Compiled from sources encountered during July 22, 2026 content research (news update + JadePuffer story check)</x:t>
  </x:si>
  <x:si>
    <x:t xml:space="preserve">Source</x:t>
  </x:si>
  <x:si>
    <x:t xml:space="preserve">Current Status</x:t>
  </x:si>
  <x:si>
    <x:t xml:space="preserve">Reliability Tier</x:t>
  </x:si>
  <x:si>
    <x:t xml:space="preserve">Notes</x:t>
  </x:si>
  <x:si>
    <x:t xml:space="preserve">techcrunch.com</x:t>
  </x:si>
  <x:si>
    <x:t xml:space="preserve">Approved</x:t>
  </x:si>
  <x:si>
    <x:t xml:space="preserve">Tier 1</x:t>
  </x:si>
  <x:si>
    <x:t xml:space="preserve">Major tech outlet, strong editorial standards</x:t>
  </x:si>
  <x:si>
    <x:t xml:space="preserve">cnbc.com</x:t>
  </x:si>
  <x:si>
    <x:t xml:space="preserve">Major business news network (NBCUniversal)</x:t>
  </x:si>
  <x:si>
    <x:t xml:space="preserve">ftc.gov</x:t>
  </x:si>
  <x:si>
    <x:t xml:space="preserve">Primary/government source</x:t>
  </x:si>
  <x:si>
    <x:t xml:space="preserve">techpolicy.press</x:t>
  </x:si>
  <x:si>
    <x:t xml:space="preserve">Nonprofit AI policy journalism, well-regarded</x:t>
  </x:si>
  <x:si>
    <x:t xml:space="preserve">news.wttw.com</x:t>
  </x:si>
  <x:si>
    <x:t xml:space="preserve">PBS-affiliated Chicago public broadcaster</x:t>
  </x:si>
  <x:si>
    <x:t xml:space="preserve">nbcnews.com</x:t>
  </x:si>
  <x:si>
    <x:t xml:space="preserve">Not listed</x:t>
  </x:si>
  <x:si>
    <x:t xml:space="preserve">Major network news; recommend approve</x:t>
  </x:si>
  <x:si>
    <x:t xml:space="preserve">bleepingcomputer.com</x:t>
  </x:si>
  <x:si>
    <x:t xml:space="preserve">20+ yr security trade press; recommend approve</x:t>
  </x:si>
  <x:si>
    <x:t xml:space="preserve">darkreading.com</x:t>
  </x:si>
  <x:si>
    <x:t xml:space="preserve">Informa-owned security trade press; recommend approve</x:t>
  </x:si>
  <x:si>
    <x:t xml:space="preserve">sciencedaily.com</x:t>
  </x:si>
  <x:si>
    <x:t xml:space="preserve">Accurate but mostly verbatim press releases, not independent reporting</x:t>
  </x:si>
  <x:si>
    <x:t xml:space="preserve">aitoolsrecap.com</x:t>
  </x:si>
  <x:si>
    <x:t xml:space="preserve">Tier 2</x:t>
  </x:si>
  <x:si>
    <x:t xml:space="preserve">Solid AI-industry roundups; single-operator scale</x:t>
  </x:si>
  <x:si>
    <x:t xml:space="preserve">techstartups.com</x:t>
  </x:si>
  <x:si>
    <x:t xml:space="preserve">Pending review</x:t>
  </x:si>
  <x:si>
    <x:t xml:space="preserve">Aggregator style, light editorial process</x:t>
  </x:si>
  <x:si>
    <x:t xml:space="preserve">aiweekly.co</x:t>
  </x:si>
  <x:si>
    <x:t xml:space="preserve">Newsletter aggregator</x:t>
  </x:si>
  <x:si>
    <x:t xml:space="preserve">buildfastwithai.com</x:t>
  </x:si>
  <x:si>
    <x:t xml:space="preserve">Hit a dead link this session; verify before relying on it</x:t>
  </x:si>
  <x:si>
    <x:t xml:space="preserve">news.un.org</x:t>
  </x:si>
  <x:si>
    <x:t xml:space="preserve">Reliable but institutional/self-interested framing</x:t>
  </x:si>
  <x:si>
    <x:t xml:space="preserve">infosecurity-magazine.com</x:t>
  </x:si>
  <x:si>
    <x:t xml:space="preserve">Established security trade publication</x:t>
  </x:si>
  <x:si>
    <x:t xml:space="preserve">securityaffairs.com</x:t>
  </x:si>
  <x:si>
    <x:t xml:space="preserve">Solid but single-author operation</x:t>
  </x:si>
  <x:si>
    <x:t xml:space="preserve">artificialintelligence-news.com</x:t>
  </x:si>
  <x:si>
    <x:t xml:space="preserve">Decent UK B2B trade press</x:t>
  </x:si>
  <x:si>
    <x:t xml:space="preserve">digit.in</x:t>
  </x:si>
  <x:si>
    <x:t xml:space="preserve">Legitimate but narrow India-focused tech audience</x:t>
  </x:si>
  <x:si>
    <x:t xml:space="preserve">thehansindia.com</x:t>
  </x:si>
  <x:si>
    <x:t xml:space="preserve">Legitimate regional paper, often syndicates rather than reports</x:t>
  </x:si>
  <x:si>
    <x:t xml:space="preserve">sysdig.com</x:t>
  </x:si>
  <x:si>
    <x:t xml:space="preserve">Tier 3</x:t>
  </x:si>
  <x:si>
    <x:t xml:space="preserve">Security vendor's own blog — factually strong on its own research (discovered JadePuffer), but inherently promotional</x:t>
  </x:si>
  <x:si>
    <x:t xml:space="preserve">nsfocusglobal.com</x:t>
  </x:si>
  <x:si>
    <x:t xml:space="preserve">Security vendor blog; secondhand summary of Sysdig's work</x:t>
  </x:si>
  <x:si>
    <x:t xml:space="preserve">mishcon.com</x:t>
  </x:si>
  <x:si>
    <x:t xml:space="preserve">Law firm marketing content, not journalism</x:t>
  </x:si>
  <x:si>
    <x:t xml:space="preserve">hard2bit.com</x:t>
  </x:si>
  <x:si>
    <x:t xml:space="preserve">Small independent blog, hard to vet</x:t>
  </x:si>
  <x:si>
    <x:t xml:space="preserve">aimagazine.com</x:t>
  </x:si>
  <x:si>
    <x:t xml:space="preserve">Trade-media-network listicle style, thin original reporting</x:t>
  </x:si>
  <x:si>
    <x:t xml:space="preserve">cybernews.com</x:t>
  </x:si>
  <x:si>
    <x:t xml:space="preserve">Mixed — some original research, some clickbait; verify</x:t>
  </x:si>
  <x:si>
    <x:t xml:space="preserve">zonetechify.com</x:t>
  </x:si>
  <x:si>
    <x:t xml:space="preserve">Low-recognition SEO content site</x:t>
  </x:si>
  <x:si>
    <x:t xml:space="preserve">hipther.com</x:t>
  </x:si>
  <x:si>
    <x:t xml:space="preserve">Wire/dispatch aggregator, low editorial independence</x:t>
  </x:si>
  <x:si>
    <x:t xml:space="preserve">dentro.de</x:t>
  </x:si>
  <x:si>
    <x:t xml:space="preserve">Low-recognition foreign blog</x:t>
  </x:si>
  <x:si>
    <x:t xml:space="preserve">finance.biggo.com</x:t>
  </x:si>
  <x:si>
    <x:t xml:space="preserve">Content-aggregation site, low editorial independence</x:t>
  </x:si>
  <x:si>
    <x:t xml:space="preserve">thestreet.com</x:t>
  </x:si>
  <x:si>
    <x:t xml:space="preserve">Legitimate legacy brand but thinned-out editorial quality</x:t>
  </x:si>
  <x:si>
    <x:t xml:space="preserve">stocktwits.com</x:t>
  </x:si>
  <x:si>
    <x:t xml:space="preserve">Social trading platform, aggregated/community content</x:t>
  </x:si>
  <x:si>
    <x:t xml:space="preserve">proactiveinvestors.com</x:t>
  </x:si>
  <x:si>
    <x:t xml:space="preserve">Small-cap financial wire; history of close ties to covered companies</x:t>
  </x:si>
  <x:si>
    <x:t xml:space="preserve">blog.mean.ceo</x:t>
  </x:si>
  <x:si>
    <x:t xml:space="preserve">Personal/company blog, low recognition</x:t>
  </x:si>
  <x:si>
    <x:t xml:space="preserve">aigovernance.com</x:t>
  </x:si>
  <x:si>
    <x:t xml:space="preserve">Niche institute site, editorial standards unverified</x:t>
  </x:si>
  <x:si>
    <x:t xml:space="preserve">transparencycoalition.ai</x:t>
  </x:si>
  <x:si>
    <x:t xml:space="preserve">AI-policy advocacy group — useful for legislative tracking but has a stated agenda</x:t>
  </x:si>
  <x:si>
    <x:t xml:space="preserve">en.wikipedia.org</x:t>
  </x:si>
  <x:si>
    <x:t xml:space="preserve">Crowd-edited; fine for background, not a news citation</x:t>
  </x:si>
  <x:si>
    <x:t xml:space="preserve">foxnews.com</x:t>
  </x:si>
  <x:si>
    <x:t xml:space="preserve">Major outlet but its AI/tech vertical is largely syndicated, mixed reliability there</x:t>
  </x:si>
  <x:si>
    <x:r>
      <x:t xml:space="preserve">Reuters </x:t>
    </x:r>
    <x:r>
      <x:rPr>
        <x:sz val="11"/>
        <x:color rgb="FF777777"/>
        <x:rFont val="Arial"/>
        <x:family val="2"/>
      </x:rPr>
      <x:t xml:space="preserve">reuters.com</x:t>
    </x:r>
  </x:si>
  <x:si>
    <x:r>
      <x:t xml:space="preserve">Associated Press </x:t>
    </x:r>
    <x:r>
      <x:rPr>
        <x:sz val="11"/>
        <x:color rgb="FF777777"/>
        <x:rFont val="Arial"/>
        <x:family val="2"/>
      </x:rPr>
      <x:t xml:space="preserve">apnews.com</x:t>
    </x:r>
  </x:si>
  <x:si>
    <x:r>
      <x:t xml:space="preserve">Axios </x:t>
    </x:r>
    <x:r>
      <x:rPr>
        <x:sz val="11"/>
        <x:color rgb="FF777777"/>
        <x:rFont val="Arial"/>
        <x:family val="2"/>
      </x:rPr>
      <x:t xml:space="preserve">axios.com</x:t>
    </x:r>
  </x:si>
  <x:si>
    <x:r>
      <x:t xml:space="preserve">NPR </x:t>
    </x:r>
    <x:r>
      <x:rPr>
        <x:sz val="11"/>
        <x:color rgb="FF777777"/>
        <x:rFont val="Arial"/>
        <x:family val="2"/>
      </x:rPr>
      <x:t xml:space="preserve">npr.org</x:t>
    </x:r>
  </x:si>
  <x:si>
    <x:r>
      <x:t xml:space="preserve">Al Jazeera </x:t>
    </x:r>
    <x:r>
      <x:rPr>
        <x:sz val="11"/>
        <x:color rgb="FF777777"/>
        <x:rFont val="Arial"/>
        <x:family val="2"/>
      </x:rPr>
      <x:t xml:space="preserve">aljazeera.com</x:t>
    </x:r>
  </x:si>
  <x:si>
    <x:r>
      <x:t xml:space="preserve">CNN </x:t>
    </x:r>
    <x:r>
      <x:rPr>
        <x:sz val="11"/>
        <x:color rgb="FF777777"/>
        <x:rFont val="Arial"/>
        <x:family val="2"/>
      </x:rPr>
      <x:t xml:space="preserve">cnn.com</x:t>
    </x:r>
  </x:si>
  <x:si>
    <x:r>
      <x:t xml:space="preserve">OpenAI </x:t>
    </x:r>
    <x:r>
      <x:rPr>
        <x:sz val="11"/>
        <x:color rgb="FF777777"/>
        <x:rFont val="Arial"/>
        <x:family val="2"/>
      </x:rPr>
      <x:t xml:space="preserve">openai.com</x:t>
    </x:r>
  </x:si>
  <x:si>
    <x:r>
      <x:t xml:space="preserve">Anthropic </x:t>
    </x:r>
    <x:r>
      <x:rPr>
        <x:sz val="11"/>
        <x:color rgb="FF777777"/>
        <x:rFont val="Arial"/>
        <x:family val="2"/>
      </x:rPr>
      <x:t xml:space="preserve">anthropic.com</x:t>
    </x:r>
  </x:si>
  <x:si>
    <x:r>
      <x:t xml:space="preserve">Google AI / DeepMind </x:t>
    </x:r>
    <x:r>
      <x:rPr>
        <x:sz val="11"/>
        <x:color rgb="FF777777"/>
        <x:rFont val="Arial"/>
        <x:family val="2"/>
      </x:rPr>
      <x:t xml:space="preserve">blog.google, deepmind.google</x:t>
    </x:r>
  </x:si>
  <x:si>
    <x:r>
      <x:t xml:space="preserve">Meta AI </x:t>
    </x:r>
    <x:r>
      <x:rPr>
        <x:sz val="11"/>
        <x:color rgb="FF777777"/>
        <x:rFont val="Arial"/>
        <x:family val="2"/>
      </x:rPr>
      <x:t xml:space="preserve">ai.meta.com</x:t>
    </x:r>
  </x:si>
  <x:si>
    <x:r>
      <x:t xml:space="preserve">Microsoft </x:t>
    </x:r>
    <x:r>
      <x:rPr>
        <x:sz val="11"/>
        <x:color rgb="FF777777"/>
        <x:rFont val="Arial"/>
        <x:family val="2"/>
      </x:rPr>
      <x:t xml:space="preserve">blogs.microsoft.com</x:t>
    </x:r>
  </x:si>
  <x:si>
    <x:r>
      <x:t xml:space="preserve">Nvidia </x:t>
    </x:r>
    <x:r>
      <x:rPr>
        <x:sz val="11"/>
        <x:color rgb="FF777777"/>
        <x:rFont val="Arial"/>
        <x:family val="2"/>
      </x:rPr>
      <x:t xml:space="preserve">blogs.nvidia.com</x:t>
    </x:r>
  </x:si>
  <x:si>
    <x:r>
      <x:t xml:space="preserve">xAI </x:t>
    </x:r>
    <x:r>
      <x:rPr>
        <x:sz val="11"/>
        <x:color rgb="FF777777"/>
        <x:rFont val="Arial"/>
        <x:family val="2"/>
      </x:rPr>
      <x:t xml:space="preserve">x.ai</x:t>
    </x:r>
  </x:si>
  <x:si>
    <x:r>
      <x:t xml:space="preserve">TechCrunch </x:t>
    </x:r>
    <x:r>
      <x:rPr>
        <x:sz val="11"/>
        <x:color rgb="FF777777"/>
        <x:rFont val="Arial"/>
        <x:family val="2"/>
      </x:rPr>
      <x:t xml:space="preserve">techcrunch.com</x:t>
    </x:r>
  </x:si>
  <x:si>
    <x:r>
      <x:t xml:space="preserve">The Verge </x:t>
    </x:r>
    <x:r>
      <x:rPr>
        <x:sz val="11"/>
        <x:color rgb="FF777777"/>
        <x:rFont val="Arial"/>
        <x:family val="2"/>
      </x:rPr>
      <x:t xml:space="preserve">theverge.com</x:t>
    </x:r>
  </x:si>
  <x:si>
    <x:r>
      <x:t xml:space="preserve">Ars Technica </x:t>
    </x:r>
    <x:r>
      <x:rPr>
        <x:sz val="11"/>
        <x:color rgb="FF777777"/>
        <x:rFont val="Arial"/>
        <x:family val="2"/>
      </x:rPr>
      <x:t xml:space="preserve">arstechnica.com</x:t>
    </x:r>
  </x:si>
  <x:si>
    <x:r>
      <x:t xml:space="preserve">CNBC </x:t>
    </x:r>
    <x:r>
      <x:rPr>
        <x:sz val="11"/>
        <x:color rgb="FF777777"/>
        <x:rFont val="Arial"/>
        <x:family val="2"/>
      </x:rPr>
      <x:t xml:space="preserve">cnbc.com</x:t>
    </x:r>
  </x:si>
  <x:si>
    <x:r>
      <x:t xml:space="preserve">VentureBeat </x:t>
    </x:r>
    <x:r>
      <x:rPr>
        <x:sz val="11"/>
        <x:color rgb="FF777777"/>
        <x:rFont val="Arial"/>
        <x:family val="2"/>
      </x:rPr>
      <x:t xml:space="preserve">venturebeat.com</x:t>
    </x:r>
  </x:si>
  <x:si>
    <x:r>
      <x:t xml:space="preserve">ZDNet </x:t>
    </x:r>
    <x:r>
      <x:rPr>
        <x:sz val="11"/>
        <x:color rgb="FF777777"/>
        <x:rFont val="Arial"/>
        <x:family val="2"/>
      </x:rPr>
      <x:t xml:space="preserve">zdnet.com</x:t>
    </x:r>
  </x:si>
  <x:si>
    <x:r>
      <x:t xml:space="preserve">Engadget </x:t>
    </x:r>
    <x:r>
      <x:rPr>
        <x:sz val="11"/>
        <x:color rgb="FF777777"/>
        <x:rFont val="Arial"/>
        <x:family val="2"/>
      </x:rPr>
      <x:t xml:space="preserve">engadget.com</x:t>
    </x:r>
  </x:si>
  <x:si>
    <x:r>
      <x:t xml:space="preserve">9to5Mac / 9to5Google </x:t>
    </x:r>
    <x:r>
      <x:rPr>
        <x:sz val="11"/>
        <x:color rgb="FF777777"/>
        <x:rFont val="Arial"/>
        <x:family val="2"/>
      </x:rPr>
      <x:t xml:space="preserve">9to5mac.com, 9to5google.com</x:t>
    </x:r>
  </x:si>
  <x:si>
    <x:r>
      <x:t xml:space="preserve">SiliconANGLE </x:t>
    </x:r>
    <x:r>
      <x:rPr>
        <x:sz val="11"/>
        <x:color rgb="FF777777"/>
        <x:rFont val="Arial"/>
        <x:family val="2"/>
      </x:rPr>
      <x:t xml:space="preserve">siliconangle.com</x:t>
    </x:r>
  </x:si>
  <x:si>
    <x:r>
      <x:t xml:space="preserve">Tom's Hardware </x:t>
    </x:r>
    <x:r>
      <x:rPr>
        <x:sz val="11"/>
        <x:color rgb="FF777777"/>
        <x:rFont val="Arial"/>
        <x:family val="2"/>
      </x:rPr>
      <x:t xml:space="preserve">tomshardware.com</x:t>
    </x:r>
  </x:si>
  <x:si>
    <x:r>
      <x:t xml:space="preserve">MacRumors </x:t>
    </x:r>
    <x:r>
      <x:rPr>
        <x:sz val="11"/>
        <x:color rgb="FF777777"/>
        <x:rFont val="Arial"/>
        <x:family val="2"/>
      </x:rPr>
      <x:t xml:space="preserve">macrumors.com</x:t>
    </x:r>
  </x:si>
  <x:si>
    <x:r>
      <x:t xml:space="preserve">TechRepublic </x:t>
    </x:r>
    <x:r>
      <x:rPr>
        <x:sz val="11"/>
        <x:color rgb="FF777777"/>
        <x:rFont val="Arial"/>
        <x:family val="2"/>
      </x:rPr>
      <x:t xml:space="preserve">techrepublic.com</x:t>
    </x:r>
  </x:si>
  <x:si>
    <x:r>
      <x:t xml:space="preserve">Fortune </x:t>
    </x:r>
    <x:r>
      <x:rPr>
        <x:sz val="11"/>
        <x:color rgb="FF777777"/>
        <x:rFont val="Arial"/>
        <x:family val="2"/>
      </x:rPr>
      <x:t xml:space="preserve">fortune.com — metered paywall, free articles generally available</x:t>
    </x:r>
  </x:si>
  <x:si>
    <x:r>
      <x:t xml:space="preserve">FTC.gov </x:t>
    </x:r>
    <x:r>
      <x:rPr>
        <x:sz val="11"/>
        <x:color rgb="FF777777"/>
        <x:rFont val="Arial"/>
        <x:family val="2"/>
      </x:rPr>
      <x:t xml:space="preserve">ftc.gov</x:t>
    </x:r>
  </x:si>
  <x:si>
    <x:r>
      <x:t xml:space="preserve">Federal Register </x:t>
    </x:r>
    <x:r>
      <x:rPr>
        <x:sz val="11"/>
        <x:color rgb="FF777777"/>
        <x:rFont val="Arial"/>
        <x:family val="2"/>
      </x:rPr>
      <x:t xml:space="preserve">federalregister.gov</x:t>
    </x:r>
  </x:si>
  <x:si>
    <x:r>
      <x:t xml:space="preserve">Tech Policy Press </x:t>
    </x:r>
    <x:r>
      <x:rPr>
        <x:sz val="11"/>
        <x:color rgb="FF777777"/>
        <x:rFont val="Arial"/>
        <x:family val="2"/>
      </x:rPr>
      <x:t xml:space="preserve">techpolicy.press</x:t>
    </x:r>
  </x:si>
  <x:si>
    <x:r>
      <x:t xml:space="preserve">Council of the EU </x:t>
    </x:r>
    <x:r>
      <x:rPr>
        <x:sz val="11"/>
        <x:color rgb="FF777777"/>
        <x:rFont val="Arial"/>
        <x:family val="2"/>
      </x:rPr>
      <x:t xml:space="preserve">consilium.europa.eu</x:t>
    </x:r>
  </x:si>
  <x:si>
    <x:r>
      <x:t xml:space="preserve">MarkTechPost </x:t>
    </x:r>
    <x:r>
      <x:rPr>
        <x:sz val="11"/>
        <x:color rgb="FF777777"/>
        <x:rFont val="Arial"/>
        <x:family val="2"/>
      </x:rPr>
      <x:t xml:space="preserve">marktechpost.com</x:t>
    </x:r>
  </x:si>
  <x:si>
    <x:r>
      <x:t xml:space="preserve">The New Stack </x:t>
    </x:r>
    <x:r>
      <x:rPr>
        <x:sz val="11"/>
        <x:color rgb="FF777777"/>
        <x:rFont val="Arial"/>
        <x:family val="2"/>
      </x:rPr>
      <x:t xml:space="preserve">thenewstack.io</x:t>
    </x:r>
  </x:si>
  <x:si>
    <x:r>
      <x:t xml:space="preserve">IT Pro </x:t>
    </x:r>
    <x:r>
      <x:rPr>
        <x:sz val="11"/>
        <x:color rgb="FF777777"/>
        <x:rFont val="Arial"/>
        <x:family val="2"/>
      </x:rPr>
      <x:t xml:space="preserve">itpro.com</x:t>
    </x:r>
  </x:si>
  <x:si>
    <x:r>
      <x:t xml:space="preserve">BuildFastWithAI </x:t>
    </x:r>
    <x:r>
      <x:rPr>
        <x:sz val="11"/>
        <x:color rgb="FF777777"/>
        <x:rFont val="Arial"/>
        <x:family val="2"/>
      </x:rPr>
      <x:t xml:space="preserve">buildfastwithai.com</x:t>
    </x:r>
  </x:si>
  <x:si>
    <x:r>
      <x:t xml:space="preserve">ThursdAI </x:t>
    </x:r>
    <x:r>
      <x:rPr>
        <x:sz val="11"/>
        <x:color rgb="FF777777"/>
        <x:rFont val="Arial"/>
        <x:family val="2"/>
      </x:rPr>
      <x:t xml:space="preserve">thursdai.news</x:t>
    </x:r>
  </x:si>
  <x:si>
    <x:r>
      <x:t xml:space="preserve">AI Weekly </x:t>
    </x:r>
    <x:r>
      <x:rPr>
        <x:sz val="11"/>
        <x:color rgb="FF777777"/>
        <x:rFont val="Arial"/>
        <x:family val="2"/>
      </x:rPr>
      <x:t xml:space="preserve">aiweekly.co</x:t>
    </x:r>
  </x:si>
  <x:si>
    <x:r>
      <x:t xml:space="preserve">Memeburn </x:t>
    </x:r>
    <x:r>
      <x:rPr>
        <x:sz val="11"/>
        <x:color rgb="FF777777"/>
        <x:rFont val="Arial"/>
        <x:family val="2"/>
      </x:rPr>
      <x:t xml:space="preserve">memeburn.com</x:t>
    </x:r>
  </x:si>
  <x:si>
    <x:r>
      <x:t xml:space="preserve">Dominant Digitally </x:t>
    </x:r>
    <x:r>
      <x:rPr>
        <x:sz val="11"/>
        <x:color rgb="FF777777"/>
        <x:rFont val="Arial"/>
        <x:family val="2"/>
      </x:rPr>
      <x:t xml:space="preserve">dominantdigitally.com</x:t>
    </x:r>
  </x:si>
  <x:si>
    <x:r>
      <x:t xml:space="preserve">Introl </x:t>
    </x:r>
    <x:r>
      <x:rPr>
        <x:sz val="11"/>
        <x:color rgb="FF777777"/>
        <x:rFont val="Arial"/>
        <x:family val="2"/>
      </x:rPr>
      <x:t xml:space="preserve">introl.com</x:t>
    </x:r>
  </x:si>
  <x:si>
    <x:r>
      <x:t xml:space="preserve">AIToolsRecap </x:t>
    </x:r>
    <x:r>
      <x:rPr>
        <x:sz val="11"/>
        <x:color rgb="FF777777"/>
        <x:rFont val="Arial"/>
        <x:family val="2"/>
      </x:rPr>
      <x:t xml:space="preserve">aitoolsrecap.com</x:t>
    </x:r>
  </x:si>
  <x:si>
    <x:r>
      <x:t xml:space="preserve">Tech Startups </x:t>
    </x:r>
    <x:r>
      <x:rPr>
        <x:sz val="11"/>
        <x:color rgb="FF777777"/>
        <x:rFont val="Arial"/>
        <x:family val="2"/>
      </x:rPr>
      <x:t xml:space="preserve">techstartups.com</x:t>
    </x:r>
  </x:si>
  <x:si>
    <x:r>
      <x:t xml:space="preserve">WTTW Chicago </x:t>
    </x:r>
    <x:r>
      <x:rPr>
        <x:sz val="11"/>
        <x:color rgb="FF777777"/>
        <x:rFont val="Arial"/>
        <x:family val="2"/>
      </x:rPr>
      <x:t xml:space="preserve">news.wttw.com</x:t>
    </x:r>
  </x:si>
  <x:si>
    <x:r>
      <x:t xml:space="preserve">UN News </x:t>
    </x:r>
    <x:r>
      <x:rPr>
        <x:sz val="11"/>
        <x:color rgb="FF777777"/>
        <x:rFont val="Arial"/>
        <x:family val="2"/>
      </x:rPr>
      <x:t xml:space="preserve">news.un.org</x:t>
    </x:r>
  </x:si>
  <x:si>
    <x:r>
      <x:t xml:space="preserve">Marketing AI Institute </x:t>
    </x:r>
    <x:r>
      <x:rPr>
        <x:sz val="11"/>
        <x:color rgb="FF777777"/>
        <x:rFont val="Arial"/>
        <x:family val="2"/>
      </x:rPr>
      <x:t xml:space="preserve">marketingaiinstitute.com</x:t>
    </x:r>
  </x:si>
  <x:si>
    <x:r>
      <x:t xml:space="preserve">The New York Times </x:t>
    </x:r>
    <x:r>
      <x:rPr>
        <x:sz val="11"/>
        <x:color rgb="FF777777"/>
        <x:rFont val="Arial"/>
        <x:family val="2"/>
      </x:rPr>
      <x:t xml:space="preserve">nytimes.com</x:t>
    </x:r>
  </x:si>
  <x:si>
    <x:r>
      <x:t xml:space="preserve">The Wall Street Journal </x:t>
    </x:r>
    <x:r>
      <x:rPr>
        <x:sz val="11"/>
        <x:color rgb="FF777777"/>
        <x:rFont val="Arial"/>
        <x:family val="2"/>
      </x:rPr>
      <x:t xml:space="preserve">wsj.com</x:t>
    </x:r>
  </x:si>
  <x:si>
    <x:r>
      <x:t xml:space="preserve">Bloomberg </x:t>
    </x:r>
    <x:r>
      <x:rPr>
        <x:sz val="11"/>
        <x:color rgb="FF777777"/>
        <x:rFont val="Arial"/>
        <x:family val="2"/>
      </x:rPr>
      <x:t xml:space="preserve">bloomberg.com</x:t>
    </x:r>
  </x:si>
  <x:si>
    <x:r>
      <x:t xml:space="preserve">Financial Times </x:t>
    </x:r>
    <x:r>
      <x:rPr>
        <x:sz val="11"/>
        <x:color rgb="FF777777"/>
        <x:rFont val="Arial"/>
        <x:family val="2"/>
      </x:rPr>
      <x:t xml:space="preserve">ft.com</x:t>
    </x:r>
  </x:si>
  <x:si>
    <x:r>
      <x:t xml:space="preserve">MIT Technology Review </x:t>
    </x:r>
    <x:r>
      <x:rPr>
        <x:sz val="11"/>
        <x:color rgb="FF777777"/>
        <x:rFont val="Arial"/>
        <x:family val="2"/>
      </x:rPr>
      <x:t xml:space="preserve">technologyreview.com</x:t>
    </x:r>
  </x:si>
  <x:si>
    <x:r>
      <x:t xml:space="preserve">The Information </x:t>
    </x:r>
    <x:r>
      <x:rPr>
        <x:sz val="11"/>
        <x:color rgb="FF777777"/>
        <x:rFont val="Arial"/>
        <x:family val="2"/>
      </x:rPr>
      <x:t xml:space="preserve">theinformation.com</x:t>
    </x:r>
  </x:si>
  <x:si>
    <x:r>
      <x:t xml:space="preserve">The Economist </x:t>
    </x:r>
    <x:r>
      <x:rPr>
        <x:sz val="11"/>
        <x:color rgb="FF777777"/>
        <x:rFont val="Arial"/>
        <x:family val="2"/>
      </x:rPr>
      <x:t xml:space="preserve">economist.com</x:t>
    </x:r>
  </x:si>
  <x:si>
    <x:t xml:space="preserve">The Information</x:t>
  </x:si>
  <x:si>
    <x:t xml:space="preserve">The Wall Street Journal (Tech/AI)</x:t>
  </x:si>
  <x:si>
    <x:t xml:space="preserve">Financial Times</x:t>
  </x:si>
  <x:si>
    <x:t xml:space="preserve">Bloomberg News</x:t>
  </x:si>
  <x:si>
    <x:t xml:space="preserve">Reuters</x:t>
  </x:si>
  <x:si>
    <x:t xml:space="preserve">Associated Press (AP)</x:t>
  </x:si>
  <x:si>
    <x:t xml:space="preserve">MIT Technology Review</x:t>
  </x:si>
  <x:si>
    <x:t xml:space="preserve">WIRED (AI Section)</x:t>
  </x:si>
  <x:si>
    <x:t xml:space="preserve">The Verge</x:t>
  </x:si>
  <x:si>
    <x:t xml:space="preserve">Ars Technica</x:t>
  </x:si>
  <x:si>
    <x:t xml:space="preserve">IEEE Spectrum</x:t>
  </x:si>
  <x:si>
    <x:t xml:space="preserve">VentureBeat (Transform AI)</x:t>
  </x:si>
  <x:si>
    <x:t xml:space="preserve">TechCrunch (AI Section)</x:t>
  </x:si>
  <x:si>
    <x:t xml:space="preserve">ZDNET</x:t>
  </x:si>
  <x:si>
    <x:t xml:space="preserve">CIO.com</x:t>
  </x:si>
  <x:si>
    <x:t xml:space="preserve">arXiv (cs.CL, cs.AI, cs.LG)</x:t>
  </x:si>
  <x:si>
    <x:t xml:space="preserve">OpenAI Research Blog</x:t>
  </x:si>
  <x:si>
    <x:t xml:space="preserve">Google DeepMind Blog</x:t>
  </x:si>
  <x:si>
    <x:t xml:space="preserve">Anthropic Research</x:t>
  </x:si>
  <x:si>
    <x:t xml:space="preserve">Meta AI (FAIR) Blog</x:t>
  </x:si>
  <x:si>
    <x:t xml:space="preserve">Microsoft Research Blog</x:t>
  </x:si>
  <x:si>
    <x:t xml:space="preserve">McKinsey QuantumBlack</x:t>
  </x:si>
  <x:si>
    <x:t xml:space="preserve">Gartner / Forrester Research</x:t>
  </x:si>
  <x:si>
    <x:t xml:space="preserve">Harvard Business Review (AI)</x:t>
  </x:si>
  <x:si>
    <x:t xml:space="preserve">Import AI (Jack Clark)</x:t>
  </x:si>
  <x:si>
    <x:t xml:space="preserve">The Neuron</x:t>
  </x:si>
  <x:si>
    <x:t xml:space="preserve">The Rundown AI</x:t>
  </x:si>
  <x:si>
    <x:t xml:space="preserve">TLDR AI</x:t>
  </x:si>
  <x:si>
    <x:t xml:space="preserve">9to5Mac.com</x:t>
  </x:si>
  <x:si>
    <x:t xml:space="preserve">9to5google.com</x:t>
  </x:si>
  <x:si>
    <x:t xml:space="preserve">AI Weekly aiweekly.co</x:t>
  </x:si>
  <x:si>
    <x:t xml:space="preserve">AIToolsRecap aitoolsrecap.com</x:t>
  </x:si>
  <x:si>
    <x:t xml:space="preserve">Al Jazeera aljazeera.com</x:t>
  </x:si>
  <x:si>
    <x:t xml:space="preserve">Anthropic anthropic.com</x:t>
  </x:si>
  <x:si>
    <x:t xml:space="preserve">Ars Technica arstechnica.com</x:t>
  </x:si>
  <x:si>
    <x:t xml:space="preserve">Associated Press apnews.com</x:t>
  </x:si>
  <x:si>
    <x:t xml:space="preserve">Axios axios.com</x:t>
  </x:si>
  <x:si>
    <x:t xml:space="preserve">Bloomberg bloomberg.com</x:t>
  </x:si>
  <x:si>
    <x:t xml:space="preserve">BuildFastWithAI buildfastwithai.com</x:t>
  </x:si>
  <x:si>
    <x:t xml:space="preserve">CNBC cnbc.com</x:t>
  </x:si>
  <x:si>
    <x:t xml:space="preserve">CNN cnn.com</x:t>
  </x:si>
  <x:si>
    <x:t xml:space="preserve">Council of the EU consilium.europa.eu</x:t>
  </x:si>
  <x:si>
    <x:t xml:space="preserve">Dominant Digitally dominantdigitally.com</x:t>
  </x:si>
  <x:si>
    <x:t xml:space="preserve">Engadget engadget.com</x:t>
  </x:si>
  <x:si>
    <x:t xml:space="preserve">Federal Register federalregister.gov</x:t>
  </x:si>
  <x:si>
    <x:t xml:space="preserve">Financial Times ft.com</x:t>
  </x:si>
  <x:si>
    <x:t xml:space="preserve">Fortune fortune.com — metered paywall, free articles generally available</x:t>
  </x:si>
  <x:si>
    <x:t xml:space="preserve">FTC.gov ftc.gov</x:t>
  </x:si>
  <x:si>
    <x:t xml:space="preserve">Google AI / DeepMind blog.google, deepmind.google</x:t>
  </x:si>
  <x:si>
    <x:t xml:space="preserve">Introl introl.com</x:t>
  </x:si>
  <x:si>
    <x:t xml:space="preserve">IT Pro itpro.com</x:t>
  </x:si>
  <x:si>
    <x:t xml:space="preserve">MacRumors macrumors.com</x:t>
  </x:si>
  <x:si>
    <x:t xml:space="preserve">Marketing AI Institute marketingaiinstitute.com</x:t>
  </x:si>
  <x:si>
    <x:t xml:space="preserve">MarkTechPost marktechpost.com</x:t>
  </x:si>
  <x:si>
    <x:t xml:space="preserve">Memeburn memeburn.com</x:t>
  </x:si>
  <x:si>
    <x:t xml:space="preserve">Meta AI ai.meta.com</x:t>
  </x:si>
  <x:si>
    <x:t xml:space="preserve">Microsoft blogs.microsoft.com</x:t>
  </x:si>
  <x:si>
    <x:t xml:space="preserve">MIT Technology Review technologyreview.com</x:t>
  </x:si>
  <x:si>
    <x:t xml:space="preserve">NPR npr.org</x:t>
  </x:si>
  <x:si>
    <x:t xml:space="preserve">Nvidia blogs.nvidia.com</x:t>
  </x:si>
  <x:si>
    <x:t xml:space="preserve">OpenAI openai.com</x:t>
  </x:si>
  <x:si>
    <x:t xml:space="preserve">Reuters reuters.com</x:t>
  </x:si>
  <x:si>
    <x:t xml:space="preserve">SiliconANGLE siliconangle.com</x:t>
  </x:si>
  <x:si>
    <x:t xml:space="preserve">Tech Policy Press techpolicy.press</x:t>
  </x:si>
  <x:si>
    <x:t xml:space="preserve">Tech Startups techstartups.com</x:t>
  </x:si>
  <x:si>
    <x:t xml:space="preserve">TechCrunch techcrunch.com</x:t>
  </x:si>
  <x:si>
    <x:t xml:space="preserve">TechRepublic techrepublic.com</x:t>
  </x:si>
  <x:si>
    <x:t xml:space="preserve">The Economist economist.com</x:t>
  </x:si>
  <x:si>
    <x:t xml:space="preserve">The Information theinformation.com</x:t>
  </x:si>
  <x:si>
    <x:t xml:space="preserve">The New Stack thenewstack.io</x:t>
  </x:si>
  <x:si>
    <x:t xml:space="preserve">The New York Times nytimes.com</x:t>
  </x:si>
  <x:si>
    <x:t xml:space="preserve">The Verge theverge.com</x:t>
  </x:si>
  <x:si>
    <x:t xml:space="preserve">The Wall Street Journal wsj.com</x:t>
  </x:si>
  <x:si>
    <x:t xml:space="preserve">ThursdAI thursdai.news</x:t>
  </x:si>
  <x:si>
    <x:t xml:space="preserve">Tom's Hardware tomshardware.com</x:t>
  </x:si>
  <x:si>
    <x:t xml:space="preserve">UN News news.un.org</x:t>
  </x:si>
  <x:si>
    <x:t xml:space="preserve">VentureBeat venturebeat.com</x:t>
  </x:si>
  <x:si>
    <x:t xml:space="preserve">WTTW Chicago news.wttw.com</x:t>
  </x:si>
  <x:si>
    <x:t xml:space="preserve">xAI x.ai</x:t>
  </x:si>
  <x:si>
    <x:t xml:space="preserve">ZDNet zdnet.com</x:t>
  </x:si>
</x:sst>
</file>

<file path=xl/styles.xml><?xml version="1.0" encoding="utf-8"?>
<x:styleSheet xmlns:x="http://schemas.openxmlformats.org/spreadsheetml/2006/main">
  <x:numFmts count="1">
    <x:numFmt numFmtId="200" formatCode="0.0%"/>
  </x:numFmts>
  <x:fonts count="12">
    <x:font>
      <x:sz val="11"/>
      <x:color theme="1"/>
      <x:name val="Calibri"/>
    </x:font>
    <x:font>
      <x:b/>
      <x:sz val="14"/>
      <x:name val="Arial"/>
    </x:font>
    <x:font>
      <x:i/>
      <x:sz val="9"/>
      <x:color rgb="FF666666"/>
      <x:name val="Arial"/>
    </x:font>
    <x:font>
      <x:b/>
      <x:sz val="11"/>
      <x:color rgb="FFFFFFFF"/>
      <x:name val="Arial"/>
    </x:font>
    <x:font>
      <x:sz val="10"/>
      <x:name val="Arial"/>
    </x:font>
    <x:font>
      <x:sz val="10"/>
      <x:color rgb="FF334155"/>
      <x:name val="Segoe UI"/>
    </x:font>
    <x:font>
      <x:sz val="15"/>
      <x:color rgb="FF111111"/>
      <x:name val="Times New Roman"/>
    </x:font>
    <x:font>
      <x:sz val="11"/>
      <x:color rgb="FF777777"/>
      <x:name val="Arial"/>
    </x:font>
    <x:font>
      <x:b/>
      <x:sz val="16"/>
      <x:color rgb="FFFFFFFF"/>
      <x:name val="Calibri"/>
    </x:font>
    <x:font>
      <x:sz val="11"/>
      <x:color rgb="FF7F6000"/>
      <x:name val="Calibri"/>
    </x:font>
    <x:font>
      <x:b/>
      <x:sz val="11"/>
      <x:color rgb="FF17365D"/>
      <x:name val="Calibri"/>
    </x:font>
    <x:font>
      <x:b/>
      <x:sz val="11"/>
      <x:color rgb="FF274E13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C6E0B4"/>
      </x:patternFill>
    </x:fill>
    <x:fill>
      <x:patternFill patternType="solid">
        <x:fgColor rgb="FFFFE699"/>
      </x:patternFill>
    </x:fill>
    <x:fill>
      <x:patternFill patternType="solid">
        <x:fgColor rgb="FFF8CBAD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3F6FA"/>
      </x:patternFill>
    </x:fill>
  </x:fills>
  <x:borders count="6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3" fillId="2" borderId="1" xfId="0" applyFont="1" applyFill="1" applyBorder="1" applyAlignment="1">
      <x:alignment horizontal="left" vertical="center"/>
    </x:xf>
    <x:xf numFmtId="0" fontId="4" fillId="3" borderId="1" xfId="0" applyFont="1" applyFill="1" applyBorder="1" applyAlignment="1">
      <x:alignment horizontal="left" vertical="top"/>
    </x:xf>
    <x:xf numFmtId="0" fontId="4" fillId="3" borderId="1" xfId="0" applyFont="1" applyFill="1" applyBorder="1" applyAlignment="1">
      <x:alignment horizontal="left" vertical="top" wrapText="1"/>
    </x:xf>
    <x:xf numFmtId="0" fontId="4" fillId="4" borderId="1" xfId="0" applyFont="1" applyFill="1" applyBorder="1" applyAlignment="1">
      <x:alignment horizontal="left" vertical="top"/>
    </x:xf>
    <x:xf numFmtId="0" fontId="4" fillId="4" borderId="1" xfId="0" applyFont="1" applyFill="1" applyBorder="1" applyAlignment="1">
      <x:alignment horizontal="left" vertical="top" wrapText="1"/>
    </x:xf>
    <x:xf numFmtId="0" fontId="4" fillId="5" borderId="1" xfId="0" applyFont="1" applyFill="1" applyBorder="1" applyAlignment="1">
      <x:alignment horizontal="left" vertical="top"/>
    </x:xf>
    <x:xf numFmtId="0" fontId="4" fillId="5" borderId="1" xfId="0" applyFont="1" applyFill="1" applyBorder="1" applyAlignment="1">
      <x:alignment horizontal="left" vertical="top" wrapText="1"/>
    </x:xf>
    <x:xf numFmtId="0" fontId="4" fillId="0" borderId="1" xfId="0" applyFont="1" applyBorder="1" applyAlignment="1">
      <x:alignment horizontal="left" vertical="top"/>
    </x:xf>
    <x:xf numFmtId="0" fontId="5" fillId="6" borderId="2" xfId="0" applyFont="1" applyFill="1" applyBorder="1" applyAlignment="1">
      <x:alignment horizontal="left" vertical="top"/>
    </x:xf>
    <x:xf numFmtId="0" fontId="5" fillId="7" borderId="2" xfId="0" applyFont="1" applyFill="1" applyBorder="1" applyAlignment="1">
      <x:alignment horizontal="left" vertical="top"/>
    </x:xf>
    <x:xf numFmtId="0" fontId="6" fillId="0" borderId="0" xfId="0" applyFont="1"/>
    <x:xf numFmtId="0" fontId="1" fillId="0" borderId="0" xfId="0" applyFont="1"/>
    <x:xf numFmtId="0" fontId="0" fillId="0" borderId="0" xfId="0"/>
    <x:xf numFmtId="0" fontId="2" fillId="0" borderId="0" xfId="0" applyFont="1"/>
    <x:xf numFmtId="0" fontId="0" fillId="0" borderId="3" xfId="0" applyNumberFormat="1" applyFont="1" applyFill="1" applyBorder="1"/>
    <x:xf numFmtId="0" fontId="3" fillId="2" borderId="4" xfId="0" applyNumberFormat="1" applyFont="1" applyFill="1" applyBorder="1" applyAlignment="1">
      <x:alignment horizontal="left" vertical="center"/>
    </x:xf>
    <x:xf numFmtId="0" fontId="4" fillId="3" borderId="4" xfId="0" applyNumberFormat="1" applyFont="1" applyFill="1" applyBorder="1" applyAlignment="1">
      <x:alignment horizontal="left" vertical="top"/>
    </x:xf>
    <x:xf numFmtId="0" fontId="4" fillId="3" borderId="4" xfId="0" applyNumberFormat="1" applyFont="1" applyFill="1" applyBorder="1" applyAlignment="1">
      <x:alignment horizontal="left" vertical="top" wrapText="1"/>
    </x:xf>
    <x:xf numFmtId="0" fontId="4" fillId="4" borderId="4" xfId="0" applyNumberFormat="1" applyFont="1" applyFill="1" applyBorder="1" applyAlignment="1">
      <x:alignment horizontal="left" vertical="top"/>
    </x:xf>
    <x:xf numFmtId="0" fontId="4" fillId="4" borderId="4" xfId="0" applyNumberFormat="1" applyFont="1" applyFill="1" applyBorder="1" applyAlignment="1">
      <x:alignment horizontal="left" vertical="top" wrapText="1"/>
    </x:xf>
    <x:xf numFmtId="0" fontId="4" fillId="5" borderId="4" xfId="0" applyNumberFormat="1" applyFont="1" applyFill="1" applyBorder="1" applyAlignment="1">
      <x:alignment horizontal="left" vertical="top"/>
    </x:xf>
    <x:xf numFmtId="0" fontId="4" fillId="5" borderId="4" xfId="0" applyNumberFormat="1" applyFont="1" applyFill="1" applyBorder="1" applyAlignment="1">
      <x:alignment horizontal="left" vertical="top" wrapText="1"/>
    </x:xf>
    <x:xf numFmtId="0" fontId="4" fillId="0" borderId="4" xfId="0" applyNumberFormat="1" applyFont="1" applyFill="1" applyBorder="1" applyAlignment="1">
      <x:alignment horizontal="left" vertical="top"/>
    </x:xf>
    <x:xf numFmtId="0" fontId="5" fillId="6" borderId="5" xfId="0" applyNumberFormat="1" applyFont="1" applyFill="1" applyBorder="1" applyAlignment="1">
      <x:alignment horizontal="left" vertical="top"/>
    </x:xf>
    <x:xf numFmtId="0" fontId="5" fillId="7" borderId="5" xfId="0" applyNumberFormat="1" applyFont="1" applyFill="1" applyBorder="1" applyAlignment="1">
      <x:alignment horizontal="left" vertical="top"/>
    </x:xf>
    <x:xf numFmtId="0" fontId="6" fillId="0" borderId="3" xfId="0" applyNumberFormat="1" applyFont="1" applyFill="1" applyBorder="1"/>
    <x:xf numFmtId="0" fontId="1" fillId="0" borderId="3" xfId="0" applyNumberFormat="1" applyFont="1" applyFill="1" applyBorder="1"/>
    <x:xf numFmtId="0" fontId="2" fillId="0" borderId="3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0" fillId="8" borderId="3" xfId="0" applyNumberFormat="1" applyFont="1" applyFill="1" applyBorder="1"/>
    <x:xf numFmtId="0" fontId="8" fillId="8" borderId="3" xfId="0" applyNumberFormat="1" applyFont="1" applyFill="1" applyBorder="1"/>
    <x:xf numFmtId="0" fontId="8" fillId="8" borderId="3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9" borderId="3" xfId="0" applyNumberFormat="1" applyFont="1" applyFill="1" applyBorder="1"/>
    <x:xf numFmtId="0" fontId="9" fillId="9" borderId="3" xfId="0" applyNumberFormat="1" applyFont="1" applyFill="1" applyBorder="1"/>
    <x:xf numFmtId="0" fontId="9" fillId="9" borderId="3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0" fillId="10" borderId="3" xfId="0" applyNumberFormat="1" applyFont="1" applyFill="1" applyBorder="1"/>
    <x:xf numFmtId="0" fontId="10" fillId="10" borderId="3" xfId="0" applyNumberFormat="1" applyFont="1" applyFill="1" applyBorder="1"/>
    <x:xf numFmtId="0" fontId="10" fillId="10" borderId="3" xfId="0" applyNumberFormat="1" applyFont="1" applyFill="1" applyBorder="1" applyAlignment="1">
      <x:alignment wrapText="1"/>
    </x:xf>
    <x:xf numFmtId="0" fontId="10" fillId="10" borderId="3" xfId="0" applyNumberFormat="1" applyFont="1" applyFill="1" applyBorder="1" applyAlignment="1">
      <x:alignment horizontal="center" wrapText="1"/>
    </x:xf>
    <x:xf numFmtId="0" fontId="10" fillId="10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3" xfId="0" applyNumberFormat="1" applyFont="1" applyFill="1" applyBorder="1"/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1" borderId="3" xfId="0" applyNumberFormat="1" applyFont="1" applyFill="1" applyBorder="1"/>
    <x:xf numFmtId="0" fontId="11" fillId="11" borderId="3" xfId="0" applyNumberFormat="1" applyFont="1" applyFill="1" applyBorder="1"/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/>
    <x:xf numFmtId="0" fontId="0" fillId="12" borderId="3" xfId="0" applyNumberFormat="1" applyFont="1" applyFill="1" applyBorder="1" applyAlignment="1">
      <x:alignment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908b1faf94c02" /><Relationship Type="http://schemas.openxmlformats.org/officeDocument/2006/relationships/theme" Target="/xl/theme/theme1.xml" Id="R924d35e3182b44b8" /><Relationship Type="http://schemas.openxmlformats.org/officeDocument/2006/relationships/sharedStrings" Target="/xl/sharedStrings.xml" Id="R92c37eed7e614783" /><Relationship Type="http://schemas.openxmlformats.org/officeDocument/2006/relationships/worksheet" Target="/xl/worksheets/sheet1.xml" Id="R513c3b3c6d054f4f" /><Relationship Type="http://schemas.openxmlformats.org/officeDocument/2006/relationships/worksheet" Target="/xl/worksheets/sheet2.xml" Id="Ra0a1e5cc6e33466e" /><Relationship Type="http://schemas.openxmlformats.org/officeDocument/2006/relationships/worksheet" Target="/xl/worksheets/sheet3.xml" Id="R9843d151cf0e4b9e" /><Relationship Type="http://schemas.openxmlformats.org/officeDocument/2006/relationships/worksheet" Target="/xl/worksheets/sheet4.xml" Id="R128767a2484e460d" /><Relationship Type="http://schemas.openxmlformats.org/officeDocument/2006/relationships/worksheet" Target="/xl/worksheets/sheet5.xml" Id="Rc245ba577c974b79" /><Relationship Type="http://schemas.openxmlformats.org/officeDocument/2006/relationships/worksheet" Target="/xl/worksheets/sheet6.xml" Id="Ra828991622984104" /><Relationship Type="http://schemas.openxmlformats.org/officeDocument/2006/relationships/worksheet" Target="/xl/worksheets/sheet7.xml" Id="R7625dd2ee70f4b79" /><Relationship Type="http://schemas.openxmlformats.org/officeDocument/2006/relationships/worksheet" Target="/xl/worksheets/sheet8.xml" Id="Rcb468287b1104061" /><Relationship Type="http://schemas.openxmlformats.org/officeDocument/2006/relationships/worksheet" Target="/xl/worksheets/sheet9.xml" Id="R3b0fc4a2278b4fc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30" customWidth="1"/>
    <x:col min="2" max="2" width="16" customWidth="1"/>
    <x:col min="3" max="3" width="14" customWidth="1"/>
    <x:col min="4" max="4" width="70" customWidth="1"/>
    <x:col min="10" max="10" width="27.5" customWidth="1"/>
  </x:cols>
  <x:sheetData>
    <x:row r="1" ht="18">
      <x:c r="A1" s="12" t="s">
        <x:v>0</x:v>
      </x:c>
      <x:c r="B1" s="13"/>
      <x:c r="C1" s="13"/>
      <x:c r="D1" s="13"/>
    </x:row>
    <x:row r="2">
      <x:c r="A2" s="14" t="s">
        <x:v>1</x:v>
      </x:c>
      <x:c r="B2" s="13"/>
      <x:c r="C2" s="13"/>
      <x:c r="D2" s="13"/>
    </x:row>
    <x:row r="4">
      <x:c r="A4" s="1" t="s">
        <x:v>2</x:v>
      </x:c>
      <x:c r="B4" s="1" t="s">
        <x:v>3</x:v>
      </x:c>
      <x:c r="C4" s="1" t="s">
        <x:v>4</x:v>
      </x:c>
      <x:c r="D4" s="1" t="s">
        <x:v>5</x:v>
      </x:c>
    </x:row>
    <x:row r="5">
      <x:c r="A5" s="2" t="s">
        <x:v>6</x:v>
      </x:c>
      <x:c r="B5" s="2" t="s">
        <x:v>7</x:v>
      </x:c>
      <x:c r="C5" s="2" t="s">
        <x:v>8</x:v>
      </x:c>
      <x:c r="D5" s="3" t="s">
        <x:v>9</x:v>
      </x:c>
    </x:row>
    <x:row r="6">
      <x:c r="A6" s="2" t="s">
        <x:v>10</x:v>
      </x:c>
      <x:c r="B6" s="2" t="s">
        <x:v>7</x:v>
      </x:c>
      <x:c r="C6" s="2" t="s">
        <x:v>8</x:v>
      </x:c>
      <x:c r="D6" s="3" t="s">
        <x:v>11</x:v>
      </x:c>
    </x:row>
    <x:row r="7">
      <x:c r="A7" s="2" t="s">
        <x:v>12</x:v>
      </x:c>
      <x:c r="B7" s="2" t="s">
        <x:v>7</x:v>
      </x:c>
      <x:c r="C7" s="2" t="s">
        <x:v>8</x:v>
      </x:c>
      <x:c r="D7" s="3" t="s">
        <x:v>13</x:v>
      </x:c>
    </x:row>
    <x:row r="8">
      <x:c r="A8" s="2" t="s">
        <x:v>14</x:v>
      </x:c>
      <x:c r="B8" s="2" t="s">
        <x:v>7</x:v>
      </x:c>
      <x:c r="C8" s="2" t="s">
        <x:v>8</x:v>
      </x:c>
      <x:c r="D8" s="3" t="s">
        <x:v>15</x:v>
      </x:c>
    </x:row>
    <x:row r="9">
      <x:c r="A9" s="2" t="s">
        <x:v>16</x:v>
      </x:c>
      <x:c r="B9" s="2" t="s">
        <x:v>7</x:v>
      </x:c>
      <x:c r="C9" s="2" t="s">
        <x:v>8</x:v>
      </x:c>
      <x:c r="D9" s="3" t="s">
        <x:v>17</x:v>
      </x:c>
    </x:row>
    <x:row r="10">
      <x:c r="A10" s="2" t="s">
        <x:v>18</x:v>
      </x:c>
      <x:c r="B10" s="2" t="s">
        <x:v>19</x:v>
      </x:c>
      <x:c r="C10" s="2" t="s">
        <x:v>8</x:v>
      </x:c>
      <x:c r="D10" s="3" t="s">
        <x:v>20</x:v>
      </x:c>
    </x:row>
    <x:row r="11">
      <x:c r="A11" s="2" t="s">
        <x:v>21</x:v>
      </x:c>
      <x:c r="B11" s="2" t="s">
        <x:v>19</x:v>
      </x:c>
      <x:c r="C11" s="2" t="s">
        <x:v>8</x:v>
      </x:c>
      <x:c r="D11" s="3" t="s">
        <x:v>22</x:v>
      </x:c>
    </x:row>
    <x:row r="12">
      <x:c r="A12" s="2" t="s">
        <x:v>23</x:v>
      </x:c>
      <x:c r="B12" s="2" t="s">
        <x:v>19</x:v>
      </x:c>
      <x:c r="C12" s="2" t="s">
        <x:v>8</x:v>
      </x:c>
      <x:c r="D12" s="3" t="s">
        <x:v>24</x:v>
      </x:c>
    </x:row>
    <x:row r="13">
      <x:c r="A13" s="2" t="s">
        <x:v>25</x:v>
      </x:c>
      <x:c r="B13" s="2" t="s">
        <x:v>19</x:v>
      </x:c>
      <x:c r="C13" s="2" t="s">
        <x:v>8</x:v>
      </x:c>
      <x:c r="D13" s="3" t="s">
        <x:v>26</x:v>
      </x:c>
    </x:row>
    <x:row r="14">
      <x:c r="A14" s="4" t="s">
        <x:v>27</x:v>
      </x:c>
      <x:c r="B14" s="4" t="s">
        <x:v>7</x:v>
      </x:c>
      <x:c r="C14" s="4" t="s">
        <x:v>28</x:v>
      </x:c>
      <x:c r="D14" s="5" t="s">
        <x:v>29</x:v>
      </x:c>
    </x:row>
    <x:row r="15">
      <x:c r="A15" s="4" t="s">
        <x:v>30</x:v>
      </x:c>
      <x:c r="B15" s="4" t="s">
        <x:v>31</x:v>
      </x:c>
      <x:c r="C15" s="4" t="s">
        <x:v>28</x:v>
      </x:c>
      <x:c r="D15" s="5" t="s">
        <x:v>32</x:v>
      </x:c>
    </x:row>
    <x:row r="16">
      <x:c r="A16" s="4" t="s">
        <x:v>33</x:v>
      </x:c>
      <x:c r="B16" s="4" t="s">
        <x:v>31</x:v>
      </x:c>
      <x:c r="C16" s="4" t="s">
        <x:v>28</x:v>
      </x:c>
      <x:c r="D16" s="5" t="s">
        <x:v>34</x:v>
      </x:c>
    </x:row>
    <x:row r="17">
      <x:c r="A17" s="4" t="s">
        <x:v>35</x:v>
      </x:c>
      <x:c r="B17" s="4" t="s">
        <x:v>31</x:v>
      </x:c>
      <x:c r="C17" s="4" t="s">
        <x:v>28</x:v>
      </x:c>
      <x:c r="D17" s="5" t="s">
        <x:v>36</x:v>
      </x:c>
    </x:row>
    <x:row r="18">
      <x:c r="A18" s="4" t="s">
        <x:v>37</x:v>
      </x:c>
      <x:c r="B18" s="4" t="s">
        <x:v>31</x:v>
      </x:c>
      <x:c r="C18" s="4" t="s">
        <x:v>28</x:v>
      </x:c>
      <x:c r="D18" s="5" t="s">
        <x:v>38</x:v>
      </x:c>
    </x:row>
    <x:row r="19">
      <x:c r="A19" s="4" t="s">
        <x:v>39</x:v>
      </x:c>
      <x:c r="B19" s="4" t="s">
        <x:v>19</x:v>
      </x:c>
      <x:c r="C19" s="4" t="s">
        <x:v>28</x:v>
      </x:c>
      <x:c r="D19" s="5" t="s">
        <x:v>40</x:v>
      </x:c>
    </x:row>
    <x:row r="20">
      <x:c r="A20" s="4" t="s">
        <x:v>41</x:v>
      </x:c>
      <x:c r="B20" s="4" t="s">
        <x:v>19</x:v>
      </x:c>
      <x:c r="C20" s="4" t="s">
        <x:v>28</x:v>
      </x:c>
      <x:c r="D20" s="5" t="s">
        <x:v>42</x:v>
      </x:c>
    </x:row>
    <x:row r="21">
      <x:c r="A21" s="4" t="s">
        <x:v>43</x:v>
      </x:c>
      <x:c r="B21" s="4" t="s">
        <x:v>19</x:v>
      </x:c>
      <x:c r="C21" s="4" t="s">
        <x:v>28</x:v>
      </x:c>
      <x:c r="D21" s="5" t="s">
        <x:v>44</x:v>
      </x:c>
    </x:row>
    <x:row r="22">
      <x:c r="A22" s="4" t="s">
        <x:v>45</x:v>
      </x:c>
      <x:c r="B22" s="4" t="s">
        <x:v>19</x:v>
      </x:c>
      <x:c r="C22" s="4" t="s">
        <x:v>28</x:v>
      </x:c>
      <x:c r="D22" s="5" t="s">
        <x:v>46</x:v>
      </x:c>
    </x:row>
    <x:row r="23">
      <x:c r="A23" s="4" t="s">
        <x:v>47</x:v>
      </x:c>
      <x:c r="B23" s="4" t="s">
        <x:v>19</x:v>
      </x:c>
      <x:c r="C23" s="4" t="s">
        <x:v>28</x:v>
      </x:c>
      <x:c r="D23" s="5" t="s">
        <x:v>48</x:v>
      </x:c>
    </x:row>
    <x:row r="24" ht="28">
      <x:c r="A24" s="6" t="s">
        <x:v>49</x:v>
      </x:c>
      <x:c r="B24" s="6" t="s">
        <x:v>19</x:v>
      </x:c>
      <x:c r="C24" s="6" t="s">
        <x:v>50</x:v>
      </x:c>
      <x:c r="D24" s="7" t="s">
        <x:v>51</x:v>
      </x:c>
    </x:row>
    <x:row r="25">
      <x:c r="A25" s="6" t="s">
        <x:v>52</x:v>
      </x:c>
      <x:c r="B25" s="6" t="s">
        <x:v>19</x:v>
      </x:c>
      <x:c r="C25" s="6" t="s">
        <x:v>50</x:v>
      </x:c>
      <x:c r="D25" s="7" t="s">
        <x:v>53</x:v>
      </x:c>
    </x:row>
    <x:row r="26">
      <x:c r="A26" s="6" t="s">
        <x:v>54</x:v>
      </x:c>
      <x:c r="B26" s="6" t="s">
        <x:v>19</x:v>
      </x:c>
      <x:c r="C26" s="6" t="s">
        <x:v>50</x:v>
      </x:c>
      <x:c r="D26" s="7" t="s">
        <x:v>55</x:v>
      </x:c>
    </x:row>
    <x:row r="27">
      <x:c r="A27" s="6" t="s">
        <x:v>56</x:v>
      </x:c>
      <x:c r="B27" s="6" t="s">
        <x:v>19</x:v>
      </x:c>
      <x:c r="C27" s="6" t="s">
        <x:v>50</x:v>
      </x:c>
      <x:c r="D27" s="7" t="s">
        <x:v>57</x:v>
      </x:c>
    </x:row>
    <x:row r="28">
      <x:c r="A28" s="6" t="s">
        <x:v>58</x:v>
      </x:c>
      <x:c r="B28" s="6" t="s">
        <x:v>19</x:v>
      </x:c>
      <x:c r="C28" s="6" t="s">
        <x:v>50</x:v>
      </x:c>
      <x:c r="D28" s="7" t="s">
        <x:v>59</x:v>
      </x:c>
    </x:row>
    <x:row r="29">
      <x:c r="A29" s="6" t="s">
        <x:v>60</x:v>
      </x:c>
      <x:c r="B29" s="6" t="s">
        <x:v>19</x:v>
      </x:c>
      <x:c r="C29" s="6" t="s">
        <x:v>50</x:v>
      </x:c>
      <x:c r="D29" s="7" t="s">
        <x:v>61</x:v>
      </x:c>
    </x:row>
    <x:row r="30">
      <x:c r="A30" s="6" t="s">
        <x:v>62</x:v>
      </x:c>
      <x:c r="B30" s="6" t="s">
        <x:v>19</x:v>
      </x:c>
      <x:c r="C30" s="6" t="s">
        <x:v>50</x:v>
      </x:c>
      <x:c r="D30" s="7" t="s">
        <x:v>63</x:v>
      </x:c>
    </x:row>
    <x:row r="31">
      <x:c r="A31" s="6" t="s">
        <x:v>64</x:v>
      </x:c>
      <x:c r="B31" s="6" t="s">
        <x:v>19</x:v>
      </x:c>
      <x:c r="C31" s="6" t="s">
        <x:v>50</x:v>
      </x:c>
      <x:c r="D31" s="7" t="s">
        <x:v>65</x:v>
      </x:c>
    </x:row>
    <x:row r="32">
      <x:c r="A32" s="6" t="s">
        <x:v>66</x:v>
      </x:c>
      <x:c r="B32" s="6" t="s">
        <x:v>19</x:v>
      </x:c>
      <x:c r="C32" s="6" t="s">
        <x:v>50</x:v>
      </x:c>
      <x:c r="D32" s="7" t="s">
        <x:v>67</x:v>
      </x:c>
    </x:row>
    <x:row r="33">
      <x:c r="A33" s="6" t="s">
        <x:v>68</x:v>
      </x:c>
      <x:c r="B33" s="6" t="s">
        <x:v>19</x:v>
      </x:c>
      <x:c r="C33" s="6" t="s">
        <x:v>50</x:v>
      </x:c>
      <x:c r="D33" s="7" t="s">
        <x:v>69</x:v>
      </x:c>
    </x:row>
    <x:row r="34">
      <x:c r="A34" s="6" t="s">
        <x:v>70</x:v>
      </x:c>
      <x:c r="B34" s="6" t="s">
        <x:v>19</x:v>
      </x:c>
      <x:c r="C34" s="6" t="s">
        <x:v>50</x:v>
      </x:c>
      <x:c r="D34" s="7" t="s">
        <x:v>71</x:v>
      </x:c>
    </x:row>
    <x:row r="35">
      <x:c r="A35" s="6" t="s">
        <x:v>72</x:v>
      </x:c>
      <x:c r="B35" s="6" t="s">
        <x:v>19</x:v>
      </x:c>
      <x:c r="C35" s="6" t="s">
        <x:v>50</x:v>
      </x:c>
      <x:c r="D35" s="7" t="s">
        <x:v>73</x:v>
      </x:c>
    </x:row>
    <x:row r="36">
      <x:c r="A36" s="6" t="s">
        <x:v>74</x:v>
      </x:c>
      <x:c r="B36" s="6" t="s">
        <x:v>19</x:v>
      </x:c>
      <x:c r="C36" s="6" t="s">
        <x:v>50</x:v>
      </x:c>
      <x:c r="D36" s="7" t="s">
        <x:v>75</x:v>
      </x:c>
    </x:row>
    <x:row r="37">
      <x:c r="A37" s="6" t="s">
        <x:v>76</x:v>
      </x:c>
      <x:c r="B37" s="6" t="s">
        <x:v>19</x:v>
      </x:c>
      <x:c r="C37" s="6" t="s">
        <x:v>50</x:v>
      </x:c>
      <x:c r="D37" s="7" t="s">
        <x:v>77</x:v>
      </x:c>
    </x:row>
    <x:row r="38">
      <x:c r="A38" s="6" t="s">
        <x:v>78</x:v>
      </x:c>
      <x:c r="B38" s="6" t="s">
        <x:v>19</x:v>
      </x:c>
      <x:c r="C38" s="6" t="s">
        <x:v>50</x:v>
      </x:c>
      <x:c r="D38" s="7" t="s">
        <x:v>79</x:v>
      </x:c>
    </x:row>
    <x:row r="39">
      <x:c r="A39" s="6" t="s">
        <x:v>80</x:v>
      </x:c>
      <x:c r="B39" s="6" t="s">
        <x:v>19</x:v>
      </x:c>
      <x:c r="C39" s="6" t="s">
        <x:v>50</x:v>
      </x:c>
      <x:c r="D39" s="7" t="s">
        <x:v>81</x:v>
      </x:c>
    </x:row>
    <x:row r="40">
      <x:c r="A40" s="6" t="s">
        <x:v>82</x:v>
      </x:c>
      <x:c r="B40" s="6" t="s">
        <x:v>19</x:v>
      </x:c>
      <x:c r="C40" s="6" t="s">
        <x:v>50</x:v>
      </x:c>
      <x:c r="D40" s="7" t="s">
        <x:v>83</x:v>
      </x:c>
    </x:row>
    <x:row r="41">
      <x:c r="A41" s="6" t="s">
        <x:v>84</x:v>
      </x:c>
      <x:c r="B41" s="6" t="s">
        <x:v>19</x:v>
      </x:c>
      <x:c r="C41" s="6" t="s">
        <x:v>50</x:v>
      </x:c>
      <x:c r="D41" s="7" t="s">
        <x:v>85</x:v>
      </x:c>
    </x:row>
    <x:row r="42" ht="19">
      <x:c r="A42" s="11" t="s">
        <x:v>86</x:v>
      </x:c>
    </x:row>
    <x:row r="43" ht="19">
      <x:c r="A43" s="11" t="s">
        <x:v>87</x:v>
      </x:c>
    </x:row>
    <x:row r="44" ht="19">
      <x:c r="A44" s="11" t="s">
        <x:v>88</x:v>
      </x:c>
    </x:row>
    <x:row r="45" ht="19">
      <x:c r="A45" s="11" t="s">
        <x:v>89</x:v>
      </x:c>
    </x:row>
    <x:row r="46" ht="19">
      <x:c r="A46" s="11" t="s">
        <x:v>90</x:v>
      </x:c>
    </x:row>
    <x:row r="47" ht="19">
      <x:c r="A47" s="11" t="s">
        <x:v>91</x:v>
      </x:c>
    </x:row>
    <x:row r="48" ht="19">
      <x:c r="A48" s="11" t="s">
        <x:v>92</x:v>
      </x:c>
    </x:row>
    <x:row r="49" ht="19">
      <x:c r="A49" s="11" t="s">
        <x:v>93</x:v>
      </x:c>
    </x:row>
    <x:row r="50" ht="19">
      <x:c r="A50" s="11" t="s">
        <x:v>94</x:v>
      </x:c>
    </x:row>
    <x:row r="51" ht="19">
      <x:c r="A51" s="11" t="s">
        <x:v>95</x:v>
      </x:c>
    </x:row>
    <x:row r="52" ht="19">
      <x:c r="A52" s="11" t="s">
        <x:v>96</x:v>
      </x:c>
    </x:row>
    <x:row r="53" ht="19">
      <x:c r="A53" s="11" t="s">
        <x:v>97</x:v>
      </x:c>
    </x:row>
    <x:row r="54" ht="19">
      <x:c r="A54" s="11" t="s">
        <x:v>98</x:v>
      </x:c>
    </x:row>
    <x:row r="55" ht="19">
      <x:c r="A55" s="11" t="s">
        <x:v>99</x:v>
      </x:c>
    </x:row>
    <x:row r="56" ht="19">
      <x:c r="A56" s="11" t="s">
        <x:v>100</x:v>
      </x:c>
    </x:row>
    <x:row r="57" ht="19">
      <x:c r="A57" s="11" t="s">
        <x:v>101</x:v>
      </x:c>
    </x:row>
    <x:row r="58" ht="19">
      <x:c r="A58" s="11" t="s">
        <x:v>102</x:v>
      </x:c>
    </x:row>
    <x:row r="59" ht="19">
      <x:c r="A59" s="11" t="s">
        <x:v>103</x:v>
      </x:c>
    </x:row>
    <x:row r="60" ht="19">
      <x:c r="A60" s="11" t="s">
        <x:v>104</x:v>
      </x:c>
    </x:row>
    <x:row r="61" ht="19">
      <x:c r="A61" s="11" t="s">
        <x:v>105</x:v>
      </x:c>
    </x:row>
    <x:row r="62" ht="19">
      <x:c r="A62" s="11" t="s">
        <x:v>106</x:v>
      </x:c>
    </x:row>
    <x:row r="63" ht="19">
      <x:c r="A63" s="11" t="s">
        <x:v>107</x:v>
      </x:c>
    </x:row>
    <x:row r="64" ht="19">
      <x:c r="A64" s="11" t="s">
        <x:v>108</x:v>
      </x:c>
    </x:row>
    <x:row r="65" ht="19">
      <x:c r="A65" s="11" t="s">
        <x:v>109</x:v>
      </x:c>
    </x:row>
    <x:row r="66" ht="19">
      <x:c r="A66" s="11" t="s">
        <x:v>110</x:v>
      </x:c>
    </x:row>
    <x:row r="67" ht="19">
      <x:c r="A67" s="11" t="s">
        <x:v>111</x:v>
      </x:c>
    </x:row>
    <x:row r="68" ht="19">
      <x:c r="A68" s="11" t="s">
        <x:v>112</x:v>
      </x:c>
    </x:row>
    <x:row r="69" ht="19">
      <x:c r="A69" s="11" t="s">
        <x:v>113</x:v>
      </x:c>
    </x:row>
    <x:row r="70" ht="19">
      <x:c r="A70" s="11" t="s">
        <x:v>114</x:v>
      </x:c>
    </x:row>
    <x:row r="71" ht="19">
      <x:c r="A71" s="11" t="s">
        <x:v>115</x:v>
      </x:c>
    </x:row>
    <x:row r="72" ht="19">
      <x:c r="A72" s="11" t="s">
        <x:v>116</x:v>
      </x:c>
    </x:row>
    <x:row r="73" ht="19">
      <x:c r="A73" s="11" t="s">
        <x:v>117</x:v>
      </x:c>
    </x:row>
    <x:row r="74" ht="19">
      <x:c r="A74" s="11" t="s">
        <x:v>118</x:v>
      </x:c>
    </x:row>
    <x:row r="75" ht="19">
      <x:c r="A75" s="11" t="s">
        <x:v>119</x:v>
      </x:c>
    </x:row>
    <x:row r="76" ht="19">
      <x:c r="A76" s="11" t="s">
        <x:v>120</x:v>
      </x:c>
    </x:row>
    <x:row r="77" ht="19">
      <x:c r="A77" s="11" t="s">
        <x:v>121</x:v>
      </x:c>
    </x:row>
    <x:row r="78" ht="19">
      <x:c r="A78" s="11" t="s">
        <x:v>122</x:v>
      </x:c>
    </x:row>
    <x:row r="79" ht="19">
      <x:c r="A79" s="11" t="s">
        <x:v>123</x:v>
      </x:c>
    </x:row>
    <x:row r="80" ht="19">
      <x:c r="A80" s="11" t="s">
        <x:v>124</x:v>
      </x:c>
    </x:row>
    <x:row r="81" ht="19">
      <x:c r="A81" s="11" t="s">
        <x:v>125</x:v>
      </x:c>
    </x:row>
    <x:row r="82" ht="19">
      <x:c r="A82" s="11" t="s">
        <x:v>126</x:v>
      </x:c>
    </x:row>
    <x:row r="83" ht="19">
      <x:c r="A83" s="11" t="s">
        <x:v>127</x:v>
      </x:c>
    </x:row>
    <x:row r="84" ht="19">
      <x:c r="A84" s="11" t="s">
        <x:v>128</x:v>
      </x:c>
    </x:row>
    <x:row r="85" ht="19">
      <x:c r="A85" s="11" t="s">
        <x:v>129</x:v>
      </x:c>
    </x:row>
    <x:row r="86" ht="19">
      <x:c r="A86" s="11" t="s">
        <x:v>130</x:v>
      </x:c>
    </x:row>
    <x:row r="87" ht="19">
      <x:c r="A87" s="11" t="s">
        <x:v>131</x:v>
      </x:c>
    </x:row>
    <x:row r="88" ht="19">
      <x:c r="A88" s="11" t="s">
        <x:v>132</x:v>
      </x:c>
    </x:row>
    <x:row r="89" ht="19">
      <x:c r="A89" s="11" t="s">
        <x:v>133</x:v>
      </x:c>
    </x:row>
    <x:row r="90" ht="19">
      <x:c r="A90" s="11" t="s">
        <x:v>134</x:v>
      </x:c>
    </x:row>
    <x:row r="91" ht="19">
      <x:c r="A91" s="11" t="s">
        <x:v>135</x:v>
      </x:c>
    </x:row>
    <x:row r="92" ht="19">
      <x:c r="A92" s="11" t="s">
        <x:v>136</x:v>
      </x:c>
    </x:row>
    <x:row r="93">
      <x:c r="A93" s="8" t="s">
        <x:v>49</x:v>
      </x:c>
    </x:row>
    <x:row r="94">
      <x:c r="A94" s="8" t="s">
        <x:v>52</x:v>
      </x:c>
    </x:row>
    <x:row r="95">
      <x:c r="A95" s="8" t="s">
        <x:v>54</x:v>
      </x:c>
    </x:row>
    <x:row r="96">
      <x:c r="A96" s="8" t="s">
        <x:v>56</x:v>
      </x:c>
    </x:row>
    <x:row r="97">
      <x:c r="A97" s="8" t="s">
        <x:v>58</x:v>
      </x:c>
    </x:row>
    <x:row r="98">
      <x:c r="A98" s="8" t="s">
        <x:v>60</x:v>
      </x:c>
    </x:row>
    <x:row r="99">
      <x:c r="A99" s="8" t="s">
        <x:v>62</x:v>
      </x:c>
    </x:row>
    <x:row r="100">
      <x:c r="A100" s="8" t="s">
        <x:v>64</x:v>
      </x:c>
    </x:row>
    <x:row r="101">
      <x:c r="A101" s="8" t="s">
        <x:v>66</x:v>
      </x:c>
    </x:row>
    <x:row r="102">
      <x:c r="A102" s="8" t="s">
        <x:v>68</x:v>
      </x:c>
    </x:row>
    <x:row r="103">
      <x:c r="A103" s="8" t="s">
        <x:v>70</x:v>
      </x:c>
    </x:row>
    <x:row r="104">
      <x:c r="A104" s="8" t="s">
        <x:v>72</x:v>
      </x:c>
    </x:row>
    <x:row r="105">
      <x:c r="A105" s="8" t="s">
        <x:v>74</x:v>
      </x:c>
    </x:row>
    <x:row r="106">
      <x:c r="A106" s="8" t="s">
        <x:v>76</x:v>
      </x:c>
    </x:row>
    <x:row r="107">
      <x:c r="A107" s="8" t="s">
        <x:v>78</x:v>
      </x:c>
    </x:row>
    <x:row r="108">
      <x:c r="A108" s="8" t="s">
        <x:v>80</x:v>
      </x:c>
    </x:row>
    <x:row r="109">
      <x:c r="A109" s="8" t="s">
        <x:v>82</x:v>
      </x:c>
    </x:row>
    <x:row r="110">
      <x:c r="A110" s="8" t="s">
        <x:v>84</x:v>
      </x:c>
    </x:row>
    <x:row r="111">
      <x:c r="A111" s="8" t="s">
        <x:v>27</x:v>
      </x:c>
    </x:row>
    <x:row r="112">
      <x:c r="A112" s="8" t="s">
        <x:v>30</x:v>
      </x:c>
    </x:row>
    <x:row r="113">
      <x:c r="A113" s="8" t="s">
        <x:v>33</x:v>
      </x:c>
    </x:row>
    <x:row r="114">
      <x:c r="A114" s="8" t="s">
        <x:v>35</x:v>
      </x:c>
    </x:row>
    <x:row r="115">
      <x:c r="A115" s="8" t="s">
        <x:v>37</x:v>
      </x:c>
    </x:row>
    <x:row r="116">
      <x:c r="A116" s="8" t="s">
        <x:v>39</x:v>
      </x:c>
    </x:row>
    <x:row r="117">
      <x:c r="A117" s="8" t="s">
        <x:v>41</x:v>
      </x:c>
    </x:row>
    <x:row r="118">
      <x:c r="A118" s="8" t="s">
        <x:v>43</x:v>
      </x:c>
    </x:row>
    <x:row r="119">
      <x:c r="A119" s="8" t="s">
        <x:v>45</x:v>
      </x:c>
    </x:row>
    <x:row r="120">
      <x:c r="A120" s="8" t="s">
        <x:v>47</x:v>
      </x:c>
    </x:row>
    <x:row r="121">
      <x:c r="A121" s="8" t="s">
        <x:v>6</x:v>
      </x:c>
    </x:row>
    <x:row r="122">
      <x:c r="A122" s="8" t="s">
        <x:v>10</x:v>
      </x:c>
    </x:row>
    <x:row r="123">
      <x:c r="A123" s="8" t="s">
        <x:v>12</x:v>
      </x:c>
    </x:row>
    <x:row r="124">
      <x:c r="A124" s="8" t="s">
        <x:v>14</x:v>
      </x:c>
    </x:row>
    <x:row r="125">
      <x:c r="A125" s="8" t="s">
        <x:v>16</x:v>
      </x:c>
    </x:row>
    <x:row r="126">
      <x:c r="A126" s="8" t="s">
        <x:v>18</x:v>
      </x:c>
    </x:row>
    <x:row r="127">
      <x:c r="A127" s="8" t="s">
        <x:v>21</x:v>
      </x:c>
    </x:row>
    <x:row r="128">
      <x:c r="A128" s="8" t="s">
        <x:v>23</x:v>
      </x:c>
    </x:row>
    <x:row r="129">
      <x:c r="A129" s="8" t="s">
        <x:v>25</x:v>
      </x:c>
    </x:row>
    <x:row r="130">
      <x:c r="A130" s="9" t="s">
        <x:v>137</x:v>
      </x:c>
    </x:row>
    <x:row r="131">
      <x:c r="A131" s="10" t="s">
        <x:v>138</x:v>
      </x:c>
    </x:row>
    <x:row r="132">
      <x:c r="A132" s="9" t="s">
        <x:v>139</x:v>
      </x:c>
    </x:row>
    <x:row r="133">
      <x:c r="A133" s="10" t="s">
        <x:v>140</x:v>
      </x:c>
    </x:row>
    <x:row r="134">
      <x:c r="A134" s="9" t="s">
        <x:v>141</x:v>
      </x:c>
    </x:row>
    <x:row r="135">
      <x:c r="A135" s="10" t="s">
        <x:v>142</x:v>
      </x:c>
    </x:row>
    <x:row r="136">
      <x:c r="A136" s="9" t="s">
        <x:v>143</x:v>
      </x:c>
    </x:row>
    <x:row r="137">
      <x:c r="A137" s="10" t="s">
        <x:v>144</x:v>
      </x:c>
    </x:row>
    <x:row r="138">
      <x:c r="A138" s="9" t="s">
        <x:v>145</x:v>
      </x:c>
    </x:row>
    <x:row r="139">
      <x:c r="A139" s="10" t="s">
        <x:v>146</x:v>
      </x:c>
    </x:row>
    <x:row r="140">
      <x:c r="A140" s="9" t="s">
        <x:v>147</x:v>
      </x:c>
    </x:row>
    <x:row r="141">
      <x:c r="A141" s="10" t="s">
        <x:v>148</x:v>
      </x:c>
    </x:row>
    <x:row r="142">
      <x:c r="A142" s="9" t="s">
        <x:v>149</x:v>
      </x:c>
    </x:row>
    <x:row r="143">
      <x:c r="A143" s="10" t="s">
        <x:v>150</x:v>
      </x:c>
    </x:row>
    <x:row r="144">
      <x:c r="A144" s="9" t="s">
        <x:v>151</x:v>
      </x:c>
    </x:row>
    <x:row r="145">
      <x:c r="A145" s="10" t="s">
        <x:v>152</x:v>
      </x:c>
    </x:row>
    <x:row r="146">
      <x:c r="A146" s="9" t="s">
        <x:v>153</x:v>
      </x:c>
    </x:row>
    <x:row r="147">
      <x:c r="A147" s="10" t="s">
        <x:v>154</x:v>
      </x:c>
    </x:row>
    <x:row r="148">
      <x:c r="A148" s="9" t="s">
        <x:v>155</x:v>
      </x:c>
    </x:row>
    <x:row r="149">
      <x:c r="A149" s="10" t="s">
        <x:v>156</x:v>
      </x:c>
    </x:row>
    <x:row r="150">
      <x:c r="A150" s="9" t="s">
        <x:v>157</x:v>
      </x:c>
    </x:row>
    <x:row r="151">
      <x:c r="A151" s="10" t="s">
        <x:v>158</x:v>
      </x:c>
    </x:row>
    <x:row r="152">
      <x:c r="A152" s="9" t="s">
        <x:v>159</x:v>
      </x:c>
    </x:row>
    <x:row r="153">
      <x:c r="A153" s="10" t="s">
        <x:v>160</x:v>
      </x:c>
    </x:row>
    <x:row r="154">
      <x:c r="A154" s="9" t="s">
        <x:v>161</x:v>
      </x:c>
    </x:row>
    <x:row r="155">
      <x:c r="A155" s="10" t="s">
        <x:v>162</x:v>
      </x:c>
    </x:row>
    <x:row r="156">
      <x:c r="A156" s="9" t="s">
        <x:v>163</x:v>
      </x:c>
    </x:row>
    <x:row r="157">
      <x:c r="A157" s="10" t="s">
        <x:v>164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3203125" customWidth="1"/>
  </x:cols>
  <x:sheetData>
    <x:row r="1">
      <x:c r="A1" t="s">
        <x:v>165</x:v>
      </x:c>
    </x:row>
    <x:row r="2">
      <x:c r="A2" t="s">
        <x:v>166</x:v>
      </x:c>
    </x:row>
    <x:row r="3">
      <x:c r="A3" t="s">
        <x:v>167</x:v>
      </x:c>
    </x:row>
    <x:row r="4">
      <x:c r="A4" t="s">
        <x:v>78</x:v>
      </x:c>
    </x:row>
    <x:row r="5">
      <x:c r="A5" t="s">
        <x:v>78</x:v>
      </x:c>
    </x:row>
    <x:row r="6">
      <x:c r="A6" t="s">
        <x:v>58</x:v>
      </x:c>
    </x:row>
    <x:row r="7">
      <x:c r="A7" t="s">
        <x:v>58</x:v>
      </x:c>
    </x:row>
    <x:row r="8">
      <x:c r="A8" t="s">
        <x:v>168</x:v>
      </x:c>
    </x:row>
    <x:row r="9">
      <x:c r="A9" t="s">
        <x:v>27</x:v>
      </x:c>
    </x:row>
    <x:row r="10">
      <x:c r="A10" t="s">
        <x:v>27</x:v>
      </x:c>
    </x:row>
    <x:row r="11">
      <x:c r="A11" t="s">
        <x:v>33</x:v>
      </x:c>
    </x:row>
    <x:row r="12">
      <x:c r="A12" t="s">
        <x:v>33</x:v>
      </x:c>
    </x:row>
    <x:row r="13">
      <x:c r="A13" t="s">
        <x:v>169</x:v>
      </x:c>
    </x:row>
    <x:row r="14">
      <x:c r="A14" t="s">
        <x:v>170</x:v>
      </x:c>
    </x:row>
    <x:row r="15">
      <x:c r="A15" t="s">
        <x:v>155</x:v>
      </x:c>
    </x:row>
    <x:row r="16">
      <x:c r="A16" t="s">
        <x:v>146</x:v>
      </x:c>
    </x:row>
    <x:row r="17">
      <x:c r="A17" t="s">
        <x:v>171</x:v>
      </x:c>
    </x:row>
    <x:row r="18">
      <x:c r="A18" t="s">
        <x:v>43</x:v>
      </x:c>
    </x:row>
    <x:row r="19">
      <x:c r="A19" t="s">
        <x:v>43</x:v>
      </x:c>
    </x:row>
    <x:row r="20">
      <x:c r="A20" t="s">
        <x:v>152</x:v>
      </x:c>
    </x:row>
    <x:row r="21">
      <x:c r="A21" t="s">
        <x:v>142</x:v>
      </x:c>
    </x:row>
    <x:row r="22">
      <x:c r="A22" t="s">
        <x:v>172</x:v>
      </x:c>
    </x:row>
    <x:row r="23">
      <x:c r="A23" t="s">
        <x:v>173</x:v>
      </x:c>
    </x:row>
    <x:row r="24">
      <x:c r="A24" t="s">
        <x:v>21</x:v>
      </x:c>
    </x:row>
    <x:row r="25">
      <x:c r="A25" t="s">
        <x:v>21</x:v>
      </x:c>
    </x:row>
    <x:row r="26">
      <x:c r="A26" t="s">
        <x:v>76</x:v>
      </x:c>
    </x:row>
    <x:row r="27">
      <x:c r="A27" t="s">
        <x:v>76</x:v>
      </x:c>
    </x:row>
    <x:row r="28">
      <x:c r="A28" t="s">
        <x:v>174</x:v>
      </x:c>
    </x:row>
    <x:row r="29">
      <x:c r="A29" t="s">
        <x:v>140</x:v>
      </x:c>
    </x:row>
    <x:row r="30">
      <x:c r="A30" t="s">
        <x:v>175</x:v>
      </x:c>
    </x:row>
    <x:row r="31">
      <x:c r="A31" t="s">
        <x:v>35</x:v>
      </x:c>
    </x:row>
    <x:row r="32">
      <x:c r="A32" t="s">
        <x:v>35</x:v>
      </x:c>
    </x:row>
    <x:row r="33">
      <x:c r="A33" t="s">
        <x:v>151</x:v>
      </x:c>
    </x:row>
    <x:row r="34">
      <x:c r="A34" t="s">
        <x:v>176</x:v>
      </x:c>
    </x:row>
    <x:row r="35">
      <x:c r="A35" t="s">
        <x:v>10</x:v>
      </x:c>
    </x:row>
    <x:row r="36">
      <x:c r="A36" t="s">
        <x:v>10</x:v>
      </x:c>
    </x:row>
    <x:row r="37">
      <x:c r="A37" t="s">
        <x:v>177</x:v>
      </x:c>
    </x:row>
    <x:row r="38">
      <x:c r="A38" t="s">
        <x:v>178</x:v>
      </x:c>
    </x:row>
    <x:row r="39">
      <x:c r="A39" t="s">
        <x:v>60</x:v>
      </x:c>
    </x:row>
    <x:row r="40">
      <x:c r="A40" t="s">
        <x:v>60</x:v>
      </x:c>
    </x:row>
    <x:row r="41">
      <x:c r="A41" t="s">
        <x:v>23</x:v>
      </x:c>
    </x:row>
    <x:row r="42">
      <x:c r="A42" t="s">
        <x:v>23</x:v>
      </x:c>
    </x:row>
    <x:row r="43">
      <x:c r="A43" t="s">
        <x:v>66</x:v>
      </x:c>
    </x:row>
    <x:row r="44">
      <x:c r="A44" t="s">
        <x:v>66</x:v>
      </x:c>
    </x:row>
    <x:row r="45">
      <x:c r="A45" t="s">
        <x:v>45</x:v>
      </x:c>
    </x:row>
    <x:row r="46">
      <x:c r="A46" t="s">
        <x:v>45</x:v>
      </x:c>
    </x:row>
    <x:row r="47">
      <x:c r="A47" t="s">
        <x:v>179</x:v>
      </x:c>
    </x:row>
    <x:row r="48">
      <x:c r="A48" t="s">
        <x:v>82</x:v>
      </x:c>
    </x:row>
    <x:row r="49">
      <x:c r="A49" t="s">
        <x:v>82</x:v>
      </x:c>
    </x:row>
    <x:row r="50">
      <x:c r="A50" t="s">
        <x:v>180</x:v>
      </x:c>
    </x:row>
    <x:row r="51">
      <x:c r="A51" t="s">
        <x:v>181</x:v>
      </x:c>
    </x:row>
    <x:row r="52">
      <x:c r="A52" t="s">
        <x:v>68</x:v>
      </x:c>
    </x:row>
    <x:row r="53">
      <x:c r="A53" t="s">
        <x:v>68</x:v>
      </x:c>
    </x:row>
    <x:row r="54">
      <x:c r="A54" t="s">
        <x:v>139</x:v>
      </x:c>
    </x:row>
    <x:row r="55">
      <x:c r="A55" t="s">
        <x:v>182</x:v>
      </x:c>
    </x:row>
    <x:row r="56">
      <x:c r="A56" t="s">
        <x:v>183</x:v>
      </x:c>
    </x:row>
    <x:row r="57">
      <x:c r="A57" t="s">
        <x:v>84</x:v>
      </x:c>
    </x:row>
    <x:row r="58">
      <x:c r="A58" t="s">
        <x:v>84</x:v>
      </x:c>
    </x:row>
    <x:row r="59">
      <x:c r="A59" t="s">
        <x:v>12</x:v>
      </x:c>
    </x:row>
    <x:row r="60">
      <x:c r="A60" t="s">
        <x:v>12</x:v>
      </x:c>
    </x:row>
    <x:row r="61">
      <x:c r="A61" t="s">
        <x:v>184</x:v>
      </x:c>
    </x:row>
    <x:row r="62">
      <x:c r="A62" t="s">
        <x:v>159</x:v>
      </x:c>
    </x:row>
    <x:row r="63">
      <x:c r="A63" t="s">
        <x:v>185</x:v>
      </x:c>
    </x:row>
    <x:row r="64">
      <x:c r="A64" t="s">
        <x:v>154</x:v>
      </x:c>
    </x:row>
    <x:row r="65">
      <x:c r="A65" t="s">
        <x:v>56</x:v>
      </x:c>
    </x:row>
    <x:row r="66">
      <x:c r="A66" t="s">
        <x:v>56</x:v>
      </x:c>
    </x:row>
    <x:row r="67">
      <x:c r="A67" t="s">
        <x:v>160</x:v>
      </x:c>
    </x:row>
    <x:row r="68">
      <x:c r="A68" t="s">
        <x:v>64</x:v>
      </x:c>
    </x:row>
    <x:row r="69">
      <x:c r="A69" t="s">
        <x:v>64</x:v>
      </x:c>
    </x:row>
    <x:row r="70">
      <x:c r="A70" t="s">
        <x:v>147</x:v>
      </x:c>
    </x:row>
    <x:row r="71">
      <x:c r="A71" t="s">
        <x:v>161</x:v>
      </x:c>
    </x:row>
    <x:row r="72">
      <x:c r="A72" t="s">
        <x:v>39</x:v>
      </x:c>
    </x:row>
    <x:row r="73">
      <x:c r="A73" t="s">
        <x:v>39</x:v>
      </x:c>
    </x:row>
    <x:row r="74">
      <x:c r="A74" t="s">
        <x:v>186</x:v>
      </x:c>
    </x:row>
    <x:row r="75">
      <x:c r="A75" t="s">
        <x:v>187</x:v>
      </x:c>
    </x:row>
    <x:row r="76">
      <x:c r="A76" t="s">
        <x:v>188</x:v>
      </x:c>
    </x:row>
    <x:row r="77">
      <x:c r="A77" t="s">
        <x:v>189</x:v>
      </x:c>
    </x:row>
    <x:row r="78">
      <x:c r="A78" t="s">
        <x:v>190</x:v>
      </x:c>
    </x:row>
    <x:row r="79">
      <x:c r="A79" t="s">
        <x:v>158</x:v>
      </x:c>
    </x:row>
    <x:row r="80">
      <x:c r="A80" t="s">
        <x:v>191</x:v>
      </x:c>
    </x:row>
    <x:row r="81">
      <x:c r="A81" t="s">
        <x:v>156</x:v>
      </x:c>
    </x:row>
    <x:row r="82">
      <x:c r="A82" t="s">
        <x:v>192</x:v>
      </x:c>
    </x:row>
    <x:row r="83">
      <x:c r="A83" t="s">
        <x:v>193</x:v>
      </x:c>
    </x:row>
    <x:row r="84">
      <x:c r="A84" t="s">
        <x:v>157</x:v>
      </x:c>
    </x:row>
    <x:row r="85">
      <x:c r="A85" t="s">
        <x:v>54</x:v>
      </x:c>
    </x:row>
    <x:row r="86">
      <x:c r="A86" t="s">
        <x:v>54</x:v>
      </x:c>
    </x:row>
    <x:row r="87">
      <x:c r="A87" t="s">
        <x:v>143</x:v>
      </x:c>
    </x:row>
    <x:row r="88">
      <x:c r="A88" t="s">
        <x:v>194</x:v>
      </x:c>
    </x:row>
    <x:row r="89">
      <x:c r="A89" t="s">
        <x:v>18</x:v>
      </x:c>
    </x:row>
    <x:row r="90">
      <x:c r="A90" t="s">
        <x:v>18</x:v>
      </x:c>
    </x:row>
    <x:row r="91">
      <x:c r="A91" t="s">
        <x:v>37</x:v>
      </x:c>
    </x:row>
    <x:row r="92">
      <x:c r="A92" t="s">
        <x:v>37</x:v>
      </x:c>
    </x:row>
    <x:row r="93">
      <x:c r="A93" t="s">
        <x:v>16</x:v>
      </x:c>
    </x:row>
    <x:row r="94">
      <x:c r="A94" t="s">
        <x:v>16</x:v>
      </x:c>
    </x:row>
    <x:row r="95">
      <x:c r="A95" t="s">
        <x:v>195</x:v>
      </x:c>
    </x:row>
    <x:row r="96">
      <x:c r="A96" t="s">
        <x:v>52</x:v>
      </x:c>
    </x:row>
    <x:row r="97">
      <x:c r="A97" t="s">
        <x:v>52</x:v>
      </x:c>
    </x:row>
    <x:row r="98">
      <x:c r="A98" t="s">
        <x:v>196</x:v>
      </x:c>
    </x:row>
    <x:row r="99">
      <x:c r="A99" t="s">
        <x:v>197</x:v>
      </x:c>
    </x:row>
    <x:row r="100">
      <x:c r="A100" t="s">
        <x:v>153</x:v>
      </x:c>
    </x:row>
    <x:row r="101">
      <x:c r="A101" t="s">
        <x:v>74</x:v>
      </x:c>
    </x:row>
    <x:row r="102">
      <x:c r="A102" t="s">
        <x:v>74</x:v>
      </x:c>
    </x:row>
    <x:row r="103">
      <x:c r="A103" t="s">
        <x:v>141</x:v>
      </x:c>
    </x:row>
    <x:row r="104">
      <x:c r="A104" t="s">
        <x:v>198</x:v>
      </x:c>
    </x:row>
    <x:row r="105">
      <x:c r="A105" t="s">
        <x:v>25</x:v>
      </x:c>
    </x:row>
    <x:row r="106">
      <x:c r="A106" t="s">
        <x:v>25</x:v>
      </x:c>
    </x:row>
    <x:row r="107">
      <x:c r="A107" t="s">
        <x:v>41</x:v>
      </x:c>
    </x:row>
    <x:row r="108">
      <x:c r="A108" t="s">
        <x:v>41</x:v>
      </x:c>
    </x:row>
    <x:row r="109">
      <x:c r="A109" t="s">
        <x:v>199</x:v>
      </x:c>
    </x:row>
    <x:row r="110">
      <x:c r="A110" t="s">
        <x:v>72</x:v>
      </x:c>
    </x:row>
    <x:row r="111">
      <x:c r="A111" t="s">
        <x:v>72</x:v>
      </x:c>
    </x:row>
    <x:row r="112">
      <x:c r="A112" t="s">
        <x:v>49</x:v>
      </x:c>
    </x:row>
    <x:row r="113">
      <x:c r="A113" t="s">
        <x:v>49</x:v>
      </x:c>
    </x:row>
    <x:row r="114">
      <x:c r="A114" t="s">
        <x:v>200</x:v>
      </x:c>
    </x:row>
    <x:row r="115">
      <x:c r="A115" t="s">
        <x:v>201</x:v>
      </x:c>
    </x:row>
    <x:row r="116">
      <x:c r="A116" t="s">
        <x:v>149</x:v>
      </x:c>
    </x:row>
    <x:row r="117">
      <x:c r="A117" t="s">
        <x:v>202</x:v>
      </x:c>
    </x:row>
    <x:row r="118">
      <x:c r="A118" t="s">
        <x:v>6</x:v>
      </x:c>
    </x:row>
    <x:row r="119">
      <x:c r="A119" t="s">
        <x:v>6</x:v>
      </x:c>
    </x:row>
    <x:row r="120">
      <x:c r="A120" t="s">
        <x:v>14</x:v>
      </x:c>
    </x:row>
    <x:row r="121">
      <x:c r="A121" t="s">
        <x:v>14</x:v>
      </x:c>
    </x:row>
    <x:row r="122">
      <x:c r="A122" t="s">
        <x:v>203</x:v>
      </x:c>
    </x:row>
    <x:row r="123">
      <x:c r="A123" t="s">
        <x:v>30</x:v>
      </x:c>
    </x:row>
    <x:row r="124">
      <x:c r="A124" t="s">
        <x:v>30</x:v>
      </x:c>
    </x:row>
    <x:row r="125">
      <x:c r="A125" t="s">
        <x:v>204</x:v>
      </x:c>
    </x:row>
    <x:row r="126">
      <x:c r="A126" t="s">
        <x:v>137</x:v>
      </x:c>
    </x:row>
    <x:row r="127">
      <x:c r="A127" t="s">
        <x:v>205</x:v>
      </x:c>
    </x:row>
    <x:row r="128">
      <x:c r="A128" t="s">
        <x:v>162</x:v>
      </x:c>
    </x:row>
    <x:row r="129">
      <x:c r="A129" t="s">
        <x:v>206</x:v>
      </x:c>
    </x:row>
    <x:row r="130">
      <x:c r="A130" t="s">
        <x:v>207</x:v>
      </x:c>
    </x:row>
    <x:row r="131">
      <x:c r="A131" t="s">
        <x:v>163</x:v>
      </x:c>
    </x:row>
    <x:row r="132">
      <x:c r="A132" t="s">
        <x:v>145</x:v>
      </x:c>
    </x:row>
    <x:row r="133">
      <x:c r="A133" t="s">
        <x:v>208</x:v>
      </x:c>
    </x:row>
    <x:row r="134">
      <x:c r="A134" t="s">
        <x:v>138</x:v>
      </x:c>
    </x:row>
    <x:row r="135">
      <x:c r="A135" t="s">
        <x:v>209</x:v>
      </x:c>
    </x:row>
    <x:row r="136">
      <x:c r="A136" t="s">
        <x:v>47</x:v>
      </x:c>
    </x:row>
    <x:row r="137">
      <x:c r="A137" t="s">
        <x:v>47</x:v>
      </x:c>
    </x:row>
    <x:row r="138">
      <x:c r="A138" t="s">
        <x:v>70</x:v>
      </x:c>
    </x:row>
    <x:row r="139">
      <x:c r="A139" t="s">
        <x:v>70</x:v>
      </x:c>
    </x:row>
    <x:row r="140">
      <x:c r="A140" t="s">
        <x:v>210</x:v>
      </x:c>
    </x:row>
    <x:row r="141">
      <x:c r="A141" t="s">
        <x:v>164</x:v>
      </x:c>
    </x:row>
    <x:row r="142">
      <x:c r="A142" t="s">
        <x:v>211</x:v>
      </x:c>
    </x:row>
    <x:row r="143">
      <x:c r="A143" t="s">
        <x:v>80</x:v>
      </x:c>
    </x:row>
    <x:row r="144">
      <x:c r="A144" t="s">
        <x:v>80</x:v>
      </x:c>
    </x:row>
    <x:row r="145">
      <x:c r="A145" t="s">
        <x:v>212</x:v>
      </x:c>
    </x:row>
    <x:row r="146">
      <x:c r="A146" t="s">
        <x:v>148</x:v>
      </x:c>
    </x:row>
    <x:row r="147">
      <x:c r="A147" t="s">
        <x:v>213</x:v>
      </x:c>
    </x:row>
    <x:row r="148">
      <x:c r="A148" t="s">
        <x:v>144</x:v>
      </x:c>
    </x:row>
    <x:row r="149">
      <x:c r="A149" t="s">
        <x:v>214</x:v>
      </x:c>
    </x:row>
    <x:row r="150">
      <x:c r="A150" t="s">
        <x:v>215</x:v>
      </x:c>
    </x:row>
    <x:row r="151">
      <x:c r="A151" t="s">
        <x:v>150</x:v>
      </x:c>
    </x:row>
    <x:row r="152">
      <x:c r="A152" t="s">
        <x:v>216</x:v>
      </x:c>
    </x:row>
    <x:row r="153">
      <x:c r="A153" t="s">
        <x:v>62</x:v>
      </x:c>
    </x:row>
    <x:row r="154">
      <x:c r="A154" t="s">
        <x:v>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1" t="str">
        <x:v>AINWA Source &amp; Policy Control Workbook — Draft</x:v>
      </x:c>
      <x:c r="B1" s="31"/>
      <x:c r="C1" s="31"/>
      <x:c r="D1" s="31"/>
      <x:c r="E1" s="31"/>
      <x:c r="F1" s="31"/>
      <x:c r="G1" s="31"/>
      <x:c r="H1" s="31"/>
    </x:row>
    <x:row r="3">
      <x:c r="A3" s="45" t="str">
        <x:v>Metric</x:v>
      </x:c>
      <x:c r="B3" s="45" t="str">
        <x:v>Value</x:v>
      </x:c>
      <x:c r="D3" s="56" t="str">
        <x:v>Current architecture decisions</x:v>
      </x:c>
      <x:c r="E3" s="56" t="str"/>
      <x:c r="F3" s="56" t="str"/>
      <x:c r="G3" s="56" t="str"/>
      <x:c r="H3" s="56" t="str"/>
    </x:row>
    <x:row r="4">
      <x:c r="A4" t="str">
        <x:v>Deduplicated sources</x:v>
      </x:c>
      <x:c r="B4" t="n">
        <x:f>COUNTA('AINWA Registry'!A5:A101)</x:f>
        <x:v>97</x:v>
      </x:c>
      <x:c r="D4" s="61" t="str">
        <x:v>• AINWA is the working system name; existing ANWU-* issue IDs can remain.
• Discovery begins with cheap configured inputs; RSS/feed ingestion is allowed.
• Discovery-only aggregators can surface leads but are not final citations.
• Human approval remains mandatory before publication.
• Approved values become authoritative and feed a deterministic static build.
• Search, email/mailing list, and reader-facing RSS are outside current site scope.
• Workbook is a human control/design surface; production config should be exported to version-controlled YAML/JSON.</x:v>
      </x:c>
      <x:c r="E4" s="61"/>
      <x:c r="F4" s="61"/>
      <x:c r="G4" s="61"/>
      <x:c r="H4" s="61"/>
    </x:row>
    <x:row r="5">
      <x:c r="A5" t="str">
        <x:v>Discovery enabled</x:v>
      </x:c>
      <x:c r="B5" t="n">
        <x:f>COUNTIF('AINWA Registry'!F5:F101,"Yes")</x:f>
        <x:v>87</x:v>
      </x:c>
      <x:c r="D5" s="61"/>
      <x:c r="E5" s="61"/>
      <x:c r="F5" s="61"/>
      <x:c r="G5" s="61"/>
      <x:c r="H5" s="61"/>
    </x:row>
    <x:row r="6">
      <x:c r="A6" t="str">
        <x:v>Citation eligible (Yes)</x:v>
      </x:c>
      <x:c r="B6" t="n">
        <x:f>COUNTIF('AINWA Registry'!G5:G101,"Yes")</x:f>
        <x:v>50</x:v>
      </x:c>
      <x:c r="D6" s="61"/>
      <x:c r="E6" s="61"/>
      <x:c r="F6" s="61"/>
      <x:c r="G6" s="61"/>
      <x:c r="H6" s="61"/>
    </x:row>
    <x:row r="7">
      <x:c r="A7" t="str">
        <x:v>Discovery-only sources</x:v>
      </x:c>
      <x:c r="B7" t="n">
        <x:f>COUNTIF('AINWA Registry'!E5:E101,"Discovery-only")</x:f>
        <x:v>15</x:v>
      </x:c>
      <x:c r="D7" s="61"/>
      <x:c r="E7" s="61"/>
      <x:c r="F7" s="61"/>
      <x:c r="G7" s="61"/>
      <x:c r="H7" s="61"/>
    </x:row>
    <x:row r="8">
      <x:c r="A8" t="str">
        <x:v>Primary sources</x:v>
      </x:c>
      <x:c r="B8" t="n">
        <x:f>COUNTIF('AINWA Registry'!E5:E101,"Primary source")</x:f>
        <x:v>13</x:v>
      </x:c>
      <x:c r="D8" s="61"/>
      <x:c r="E8" s="61"/>
      <x:c r="F8" s="61"/>
      <x:c r="G8" s="61"/>
      <x:c r="H8" s="61"/>
    </x:row>
    <x:row r="9">
      <x:c r="A9" t="str">
        <x:v>Original journalism</x:v>
      </x:c>
      <x:c r="B9" t="n">
        <x:f>COUNTIF('AINWA Registry'!E5:E101,"Original journalism")</x:f>
        <x:v>37</x:v>
      </x:c>
      <x:c r="D9" s="61"/>
      <x:c r="E9" s="61"/>
      <x:c r="F9" s="61"/>
      <x:c r="G9" s="61"/>
      <x:c r="H9" s="61"/>
    </x:row>
    <x:row r="10">
      <x:c r="D10" s="61"/>
      <x:c r="E10" s="61"/>
      <x:c r="F10" s="61"/>
      <x:c r="G10" s="61"/>
      <x:c r="H10" s="61"/>
    </x:row>
    <x:row r="12">
      <x:c r="A12" s="56" t="str">
        <x:v>What this draft changes</x:v>
      </x:c>
      <x:c r="B12" s="56"/>
      <x:c r="C12" s="56"/>
      <x:c r="D12" s="56"/>
      <x:c r="E12" s="56"/>
      <x:c r="F12" s="56"/>
      <x:c r="G12" s="56"/>
      <x:c r="H12" s="56"/>
    </x:row>
    <x:row r="13">
      <x:c r="A13" s="65" t="str">
        <x:v>The uploaded workbook had a useful legacy reliability assessment plus a raw source list with duplicates. This draft preserves both original sheets and adds a deduplicated 97-source registry, explicit discovery/citation policy, AINWA workflow, source-performance structure, and a project-reconciliation sheet. Proposed roles are intentionally marked for human review rather than treated as final editorial policy.</x:v>
      </x:c>
      <x:c r="B13" s="65"/>
      <x:c r="C13" s="65"/>
      <x:c r="D13" s="65"/>
      <x:c r="E13" s="65"/>
      <x:c r="F13" s="65"/>
      <x:c r="G13" s="65"/>
      <x:c r="H13" s="65"/>
    </x:row>
    <x:row r="14">
      <x:c r="A14" s="65"/>
      <x:c r="B14" s="65"/>
      <x:c r="C14" s="65"/>
      <x:c r="D14" s="65"/>
      <x:c r="E14" s="65"/>
      <x:c r="F14" s="65"/>
      <x:c r="G14" s="65"/>
      <x:c r="H14" s="65"/>
    </x:row>
    <x:row r="15">
      <x:c r="A15" s="65"/>
      <x:c r="B15" s="65"/>
      <x:c r="C15" s="65"/>
      <x:c r="D15" s="65"/>
      <x:c r="E15" s="65"/>
      <x:c r="F15" s="65"/>
      <x:c r="G15" s="65"/>
      <x:c r="H15" s="65"/>
    </x:row>
    <x:row r="16">
      <x:c r="A16" s="65"/>
      <x:c r="B16" s="65"/>
      <x:c r="C16" s="65"/>
      <x:c r="D16" s="65"/>
      <x:c r="E16" s="65"/>
      <x:c r="F16" s="65"/>
      <x:c r="G16" s="65"/>
      <x:c r="H16" s="65"/>
    </x:row>
    <x:row r="17">
      <x:c r="A17" s="65"/>
      <x:c r="B17" s="65"/>
      <x:c r="C17" s="65"/>
      <x:c r="D17" s="65"/>
      <x:c r="E17" s="65"/>
      <x:c r="F17" s="65"/>
      <x:c r="G17" s="65"/>
      <x:c r="H17" s="65"/>
    </x:row>
    <x:row r="18">
      <x:c r="A18" s="65"/>
      <x:c r="B18" s="65"/>
      <x:c r="C18" s="65"/>
      <x:c r="D18" s="65"/>
      <x:c r="E18" s="65"/>
      <x:c r="F18" s="65"/>
      <x:c r="G18" s="65"/>
      <x:c r="H18" s="65"/>
    </x:row>
  </x:sheetData>
  <x:mergeCells>
    <x:mergeCell ref="A1:H1"/>
    <x:mergeCell ref="D3:H3"/>
    <x:mergeCell ref="D4:H10"/>
    <x:mergeCell ref="A12:H12"/>
    <x:mergeCell ref="A13:H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22" hidden="0" customWidth="1"/>
    <x:col min="5" max="5" width="22" hidden="0" customWidth="1"/>
    <x:col min="6" max="6" width="13" hidden="0" customWidth="1"/>
    <x:col min="7" max="7" width="13" hidden="0" customWidth="1"/>
    <x:col min="8" max="8" width="22" hidden="0" customWidth="1"/>
    <x:col min="9" max="9" width="20" hidden="0" customWidth="1"/>
    <x:col min="10" max="10" width="15" hidden="0" customWidth="1"/>
    <x:col min="11" max="11" width="16" hidden="0" customWidth="1"/>
    <x:col min="12" max="12" width="18" hidden="0" customWidth="1"/>
    <x:col min="13" max="13" width="20" hidden="0" customWidth="1"/>
    <x:col min="14" max="14" width="14" hidden="0" customWidth="1"/>
    <x:col min="15" max="15" width="18" hidden="0" customWidth="1"/>
    <x:col min="16" max="16" width="10" hidden="0" customWidth="1"/>
    <x:col min="17" max="17" width="14" hidden="0" customWidth="1"/>
    <x:col min="18" max="18" width="46" hidden="0" customWidth="1"/>
  </x:cols>
  <x:sheetData>
    <x:row r="1" ht="24" customHeight="1">
      <x:c r="A1" s="31" t="str">
        <x:v>AINWA Source Registry — Draft v1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</x:row>
    <x:row r="2" ht="24" customHeight="1">
      <x:c r="A2" s="37" t="str">
        <x:v>Human-editable policy/control view. Proposed classifications require review. Production should export approved registry data to version-controlled YAML/JSON; the live site should not read Excel at runtime.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</x:row>
    <x:row r="4">
      <x:c r="A4" s="45" t="str">
        <x:v>Source ID</x:v>
      </x:c>
      <x:c r="B4" s="45" t="str">
        <x:v>Source Name</x:v>
      </x:c>
      <x:c r="C4" s="45" t="str">
        <x:v>Canonical Domain</x:v>
      </x:c>
      <x:c r="D4" s="45" t="str">
        <x:v>Origin</x:v>
      </x:c>
      <x:c r="E4" s="45" t="str">
        <x:v>Proposed Role</x:v>
      </x:c>
      <x:c r="F4" s="45" t="str">
        <x:v>Discovery Enabled</x:v>
      </x:c>
      <x:c r="G4" s="45" t="str">
        <x:v>Citation Eligible</x:v>
      </x:c>
      <x:c r="H4" s="45" t="str">
        <x:v>Originality / Authority</x:v>
      </x:c>
      <x:c r="I4" s="45" t="str">
        <x:v>Access Class</x:v>
      </x:c>
      <x:c r="J4" s="45" t="str">
        <x:v>Legacy Status</x:v>
      </x:c>
      <x:c r="K4" s="45" t="str">
        <x:v>Legacy Reliability</x:v>
      </x:c>
      <x:c r="L4" s="45" t="str">
        <x:v>Reliability Confidence</x:v>
      </x:c>
      <x:c r="M4" s="45" t="str">
        <x:v>Coverage Focus</x:v>
      </x:c>
      <x:c r="N4" s="45" t="str">
        <x:v>Discovery Priority</x:v>
      </x:c>
      <x:c r="O4" s="45" t="str">
        <x:v>RSS / Feed</x:v>
      </x:c>
      <x:c r="P4" s="45" t="str">
        <x:v>Active</x:v>
      </x:c>
      <x:c r="Q4" s="45" t="str">
        <x:v>Human Review</x:v>
      </x:c>
      <x:c r="R4" s="45" t="str">
        <x:v>Notes</x:v>
      </x:c>
    </x:row>
    <x:row r="5">
      <x:c r="A5" s="51" t="str">
        <x:v>SRC-001</x:v>
      </x:c>
      <x:c r="B5" s="51" t="str">
        <x:v>9to5Google</x:v>
      </x:c>
      <x:c r="C5" s="51" t="str">
        <x:v>9to5google.com</x:v>
      </x:c>
      <x:c r="D5" s="51" t="str">
        <x:v>Uploaded list</x:v>
      </x:c>
      <x:c r="E5" s="51" t="str">
        <x:v>Original journalism</x:v>
      </x:c>
      <x:c r="F5" s="51" t="str">
        <x:v>Yes</x:v>
      </x:c>
      <x:c r="G5" s="51" t="str">
        <x:v>Yes</x:v>
      </x:c>
      <x:c r="H5" s="51" t="str">
        <x:v>Original reporting likely</x:v>
      </x:c>
      <x:c r="I5" s="51" t="str">
        <x:v>Unknown / verify</x:v>
      </x:c>
      <x:c r="J5" s="51" t="str"/>
      <x:c r="K5" s="51" t="str"/>
      <x:c r="L5" s="51" t="str">
        <x:v>High</x:v>
      </x:c>
      <x:c r="M5" s="51" t="str">
        <x:v>General / AI</x:v>
      </x:c>
      <x:c r="N5" s="51" t="str">
        <x:v>P1</x:v>
      </x:c>
      <x:c r="O5" s="51" t="str">
        <x:v>Unknown / verify</x:v>
      </x:c>
      <x:c r="P5" s="51" t="str">
        <x:v>Yes</x:v>
      </x:c>
      <x:c r="Q5" s="51" t="str">
        <x:v>Pending</x:v>
      </x:c>
      <x:c r="R5" s="51" t="str">
        <x:v>Candidate for direct citation when article itself is the original reporting.</x:v>
      </x:c>
    </x:row>
    <x:row r="6">
      <x:c r="A6" s="51" t="str">
        <x:v>SRC-002</x:v>
      </x:c>
      <x:c r="B6" s="51" t="str">
        <x:v>9to5Mac</x:v>
      </x:c>
      <x:c r="C6" s="51" t="str">
        <x:v>9to5mac.com</x:v>
      </x:c>
      <x:c r="D6" s="51" t="str">
        <x:v>Uploaded list</x:v>
      </x:c>
      <x:c r="E6" s="51" t="str">
        <x:v>Original journalism</x:v>
      </x:c>
      <x:c r="F6" s="51" t="str">
        <x:v>Yes</x:v>
      </x:c>
      <x:c r="G6" s="51" t="str">
        <x:v>Yes</x:v>
      </x:c>
      <x:c r="H6" s="51" t="str">
        <x:v>Original reporting likely</x:v>
      </x:c>
      <x:c r="I6" s="51" t="str">
        <x:v>Unknown / verify</x:v>
      </x:c>
      <x:c r="J6" s="51" t="str"/>
      <x:c r="K6" s="51" t="str"/>
      <x:c r="L6" s="51" t="str">
        <x:v>High</x:v>
      </x:c>
      <x:c r="M6" s="51" t="str">
        <x:v>General / AI</x:v>
      </x:c>
      <x:c r="N6" s="51" t="str">
        <x:v>P1</x:v>
      </x:c>
      <x:c r="O6" s="51" t="str">
        <x:v>Unknown / verify</x:v>
      </x:c>
      <x:c r="P6" s="51" t="str">
        <x:v>Yes</x:v>
      </x:c>
      <x:c r="Q6" s="51" t="str">
        <x:v>Pending</x:v>
      </x:c>
      <x:c r="R6" s="51" t="str">
        <x:v>Candidate for direct citation when article itself is the original reporting.</x:v>
      </x:c>
    </x:row>
    <x:row r="7">
      <x:c r="A7" s="51" t="str">
        <x:v>SRC-003</x:v>
      </x:c>
      <x:c r="B7" s="51" t="str">
        <x:v>AI Breakfast</x:v>
      </x:c>
      <x:c r="C7" s="51" t="str"/>
      <x:c r="D7" s="51" t="str">
        <x:v>Competitor/discovery candidate</x:v>
      </x:c>
      <x:c r="E7" s="51" t="str">
        <x:v>Discovery-only</x:v>
      </x:c>
      <x:c r="F7" s="51" t="str">
        <x:v>Yes</x:v>
      </x:c>
      <x:c r="G7" s="51" t="str">
        <x:v>No</x:v>
      </x:c>
      <x:c r="H7" s="51" t="str">
        <x:v>Lead generation</x:v>
      </x:c>
      <x:c r="I7" s="51" t="str">
        <x:v>Unknown / verify</x:v>
      </x:c>
      <x:c r="J7" s="51" t="str"/>
      <x:c r="K7" s="51" t="str"/>
      <x:c r="L7" s="51" t="str">
        <x:v>High</x:v>
      </x:c>
      <x:c r="M7" s="51" t="str">
        <x:v>General / AI</x:v>
      </x:c>
      <x:c r="N7" s="51" t="str">
        <x:v>P1</x:v>
      </x:c>
      <x:c r="O7" s="51" t="str">
        <x:v>Unknown / verify</x:v>
      </x:c>
      <x:c r="P7" s="51" t="str">
        <x:v>Yes</x:v>
      </x:c>
      <x:c r="Q7" s="51" t="str">
        <x:v>Pending</x:v>
      </x:c>
      <x:c r="R7" s="51" t="str">
        <x:v>Use to discover leads; resolve to primary source/original reporting before review.</x:v>
      </x:c>
    </x:row>
    <x:row r="8">
      <x:c r="A8" s="51" t="str">
        <x:v>SRC-004</x:v>
      </x:c>
      <x:c r="B8" s="51" t="str">
        <x:v>AI Governance</x:v>
      </x:c>
      <x:c r="C8" s="51" t="str">
        <x:v>aigovernance.com</x:v>
      </x:c>
      <x:c r="D8" s="51" t="str">
        <x:v>Uploaded list</x:v>
      </x:c>
      <x:c r="E8" s="51" t="str">
        <x:v>Research / analysis</x:v>
      </x:c>
      <x:c r="F8" s="51" t="str">
        <x:v>Yes</x:v>
      </x:c>
      <x:c r="G8" s="51" t="str">
        <x:v>Conditional</x:v>
      </x:c>
      <x:c r="H8" s="51" t="str">
        <x:v>Analysis/research</x:v>
      </x:c>
      <x:c r="I8" s="51" t="str">
        <x:v>Unknown / verify</x:v>
      </x:c>
      <x:c r="J8" s="51" t="str">
        <x:v>Not listed</x:v>
      </x:c>
      <x:c r="K8" s="51" t="str">
        <x:v>Tier 3</x:v>
      </x:c>
      <x:c r="L8" s="51" t="str">
        <x:v>Medium</x:v>
      </x:c>
      <x:c r="M8" s="51" t="str">
        <x:v>General / AI</x:v>
      </x:c>
      <x:c r="N8" s="51" t="str">
        <x:v>P2</x:v>
      </x:c>
      <x:c r="O8" s="51" t="str">
        <x:v>Unknown / verify</x:v>
      </x:c>
      <x:c r="P8" s="51" t="str">
        <x:v>Yes</x:v>
      </x:c>
      <x:c r="Q8" s="51" t="str">
        <x:v>Pending</x:v>
      </x:c>
      <x:c r="R8" s="51" t="str">
        <x:v>Niche institute site, editorial standards unverified | Useful for research/context; citation depends on item type and relevance.</x:v>
      </x:c>
    </x:row>
    <x:row r="9">
      <x:c r="A9" s="51" t="str">
        <x:v>SRC-005</x:v>
      </x:c>
      <x:c r="B9" s="51" t="str">
        <x:v>AI Magazine</x:v>
      </x:c>
      <x:c r="C9" s="51" t="str">
        <x:v>aimagazine.com</x:v>
      </x:c>
      <x:c r="D9" s="51" t="str">
        <x:v>Uploaded list</x:v>
      </x:c>
      <x:c r="E9" s="51" t="str">
        <x:v>Discovery-only</x:v>
      </x:c>
      <x:c r="F9" s="51" t="str">
        <x:v>Yes</x:v>
      </x:c>
      <x:c r="G9" s="51" t="str">
        <x:v>No</x:v>
      </x:c>
      <x:c r="H9" s="51" t="str">
        <x:v>Lead generation</x:v>
      </x:c>
      <x:c r="I9" s="51" t="str">
        <x:v>Unknown / verify</x:v>
      </x:c>
      <x:c r="J9" s="51" t="str">
        <x:v>Not listed</x:v>
      </x:c>
      <x:c r="K9" s="51" t="str">
        <x:v>Tier 3</x:v>
      </x:c>
      <x:c r="L9" s="51" t="str">
        <x:v>High</x:v>
      </x:c>
      <x:c r="M9" s="51" t="str">
        <x:v>General / AI</x:v>
      </x:c>
      <x:c r="N9" s="51" t="str">
        <x:v>P1</x:v>
      </x:c>
      <x:c r="O9" s="51" t="str">
        <x:v>Unknown / verify</x:v>
      </x:c>
      <x:c r="P9" s="51" t="str">
        <x:v>Yes</x:v>
      </x:c>
      <x:c r="Q9" s="51" t="str">
        <x:v>Pending</x:v>
      </x:c>
      <x:c r="R9" s="51" t="str">
        <x:v>Trade-media-network listicle style, thin original reporting | Use to discover leads; resolve to primary source/original reporting before review.</x:v>
      </x:c>
    </x:row>
    <x:row r="10">
      <x:c r="A10" s="51" t="str">
        <x:v>SRC-006</x:v>
      </x:c>
      <x:c r="B10" s="51" t="str">
        <x:v>AI News</x:v>
      </x:c>
      <x:c r="C10" s="51" t="str">
        <x:v>artificialintelligence-news.com</x:v>
      </x:c>
      <x:c r="D10" s="51" t="str">
        <x:v>Uploaded list</x:v>
      </x:c>
      <x:c r="E10" s="51" t="str">
        <x:v>Discovery-only</x:v>
      </x:c>
      <x:c r="F10" s="51" t="str">
        <x:v>Yes</x:v>
      </x:c>
      <x:c r="G10" s="51" t="str">
        <x:v>No</x:v>
      </x:c>
      <x:c r="H10" s="51" t="str">
        <x:v>Lead generation</x:v>
      </x:c>
      <x:c r="I10" s="51" t="str">
        <x:v>Unknown / verify</x:v>
      </x:c>
      <x:c r="J10" s="51" t="str">
        <x:v>Not listed</x:v>
      </x:c>
      <x:c r="K10" s="51" t="str">
        <x:v>Tier 2</x:v>
      </x:c>
      <x:c r="L10" s="51" t="str">
        <x:v>High</x:v>
      </x:c>
      <x:c r="M10" s="51" t="str">
        <x:v>General / AI</x:v>
      </x:c>
      <x:c r="N10" s="51" t="str">
        <x:v>P1</x:v>
      </x:c>
      <x:c r="O10" s="51" t="str">
        <x:v>Unknown / verify</x:v>
      </x:c>
      <x:c r="P10" s="51" t="str">
        <x:v>Yes</x:v>
      </x:c>
      <x:c r="Q10" s="51" t="str">
        <x:v>Pending</x:v>
      </x:c>
      <x:c r="R10" s="51" t="str">
        <x:v>Decent UK B2B trade press | Use to discover leads; resolve to primary source/original reporting before review.</x:v>
      </x:c>
    </x:row>
    <x:row r="11">
      <x:c r="A11" s="51" t="str">
        <x:v>SRC-007</x:v>
      </x:c>
      <x:c r="B11" s="51" t="str">
        <x:v>AI Tools Recap</x:v>
      </x:c>
      <x:c r="C11" s="51" t="str">
        <x:v>aitoolsrecap.com</x:v>
      </x:c>
      <x:c r="D11" s="51" t="str">
        <x:v>Uploaded list</x:v>
      </x:c>
      <x:c r="E11" s="51" t="str">
        <x:v>Discovery-only</x:v>
      </x:c>
      <x:c r="F11" s="51" t="str">
        <x:v>Yes</x:v>
      </x:c>
      <x:c r="G11" s="51" t="str">
        <x:v>No</x:v>
      </x:c>
      <x:c r="H11" s="51" t="str">
        <x:v>Lead generation</x:v>
      </x:c>
      <x:c r="I11" s="51" t="str">
        <x:v>Unknown / verify</x:v>
      </x:c>
      <x:c r="J11" s="51" t="str">
        <x:v>Approved</x:v>
      </x:c>
      <x:c r="K11" s="51" t="str">
        <x:v>Tier 2</x:v>
      </x:c>
      <x:c r="L11" s="51" t="str">
        <x:v>High</x:v>
      </x:c>
      <x:c r="M11" s="51" t="str">
        <x:v>General / AI</x:v>
      </x:c>
      <x:c r="N11" s="51" t="str">
        <x:v>P1</x:v>
      </x:c>
      <x:c r="O11" s="51" t="str">
        <x:v>Unknown / verify</x:v>
      </x:c>
      <x:c r="P11" s="51" t="str">
        <x:v>Yes</x:v>
      </x:c>
      <x:c r="Q11" s="51" t="str">
        <x:v>Pending</x:v>
      </x:c>
      <x:c r="R11" s="51" t="str">
        <x:v>Solid AI-industry roundups; single-operator scale | Use to discover leads; resolve to primary source/original reporting before review.</x:v>
      </x:c>
    </x:row>
    <x:row r="12">
      <x:c r="A12" s="51" t="str">
        <x:v>SRC-008</x:v>
      </x:c>
      <x:c r="B12" s="51" t="str">
        <x:v>AI Weekly</x:v>
      </x:c>
      <x:c r="C12" s="51" t="str">
        <x:v>aiweekly.co</x:v>
      </x:c>
      <x:c r="D12" s="51" t="str">
        <x:v>Uploaded list</x:v>
      </x:c>
      <x:c r="E12" s="51" t="str">
        <x:v>Discovery-only</x:v>
      </x:c>
      <x:c r="F12" s="51" t="str">
        <x:v>Yes</x:v>
      </x:c>
      <x:c r="G12" s="51" t="str">
        <x:v>No</x:v>
      </x:c>
      <x:c r="H12" s="51" t="str">
        <x:v>Lead generation</x:v>
      </x:c>
      <x:c r="I12" s="51" t="str">
        <x:v>Unknown / verify</x:v>
      </x:c>
      <x:c r="J12" s="51" t="str">
        <x:v>Pending review</x:v>
      </x:c>
      <x:c r="K12" s="51" t="str">
        <x:v>Tier 2</x:v>
      </x:c>
      <x:c r="L12" s="51" t="str">
        <x:v>High</x:v>
      </x:c>
      <x:c r="M12" s="51" t="str">
        <x:v>General / AI</x:v>
      </x:c>
      <x:c r="N12" s="51" t="str">
        <x:v>P1</x:v>
      </x:c>
      <x:c r="O12" s="51" t="str">
        <x:v>Unknown / verify</x:v>
      </x:c>
      <x:c r="P12" s="51" t="str">
        <x:v>Yes</x:v>
      </x:c>
      <x:c r="Q12" s="51" t="str">
        <x:v>Pending</x:v>
      </x:c>
      <x:c r="R12" s="51" t="str">
        <x:v>Newsletter aggregator | Use to discover leads; resolve to primary source/original reporting before review.</x:v>
      </x:c>
    </x:row>
    <x:row r="13">
      <x:c r="A13" s="51" t="str">
        <x:v>SRC-009</x:v>
      </x:c>
      <x:c r="B13" s="51" t="str">
        <x:v>Al Jazeera</x:v>
      </x:c>
      <x:c r="C13" s="51" t="str">
        <x:v>aljazeera.com</x:v>
      </x:c>
      <x:c r="D13" s="51" t="str">
        <x:v>Uploaded list</x:v>
      </x:c>
      <x:c r="E13" s="51" t="str">
        <x:v>Original journalism</x:v>
      </x:c>
      <x:c r="F13" s="51" t="str">
        <x:v>Yes</x:v>
      </x:c>
      <x:c r="G13" s="51" t="str">
        <x:v>Yes</x:v>
      </x:c>
      <x:c r="H13" s="51" t="str">
        <x:v>Original reporting likely</x:v>
      </x:c>
      <x:c r="I13" s="51" t="str">
        <x:v>Unknown / verify</x:v>
      </x:c>
      <x:c r="J13" s="51" t="str"/>
      <x:c r="K13" s="51" t="str"/>
      <x:c r="L13" s="51" t="str">
        <x:v>High</x:v>
      </x:c>
      <x:c r="M13" s="51" t="str">
        <x:v>General / AI</x:v>
      </x:c>
      <x:c r="N13" s="51" t="str">
        <x:v>P1</x:v>
      </x:c>
      <x:c r="O13" s="51" t="str">
        <x:v>Unknown / verify</x:v>
      </x:c>
      <x:c r="P13" s="51" t="str">
        <x:v>Yes</x:v>
      </x:c>
      <x:c r="Q13" s="51" t="str">
        <x:v>Pending</x:v>
      </x:c>
      <x:c r="R13" s="51" t="str">
        <x:v>Candidate for direct citation when article itself is the original reporting.</x:v>
      </x:c>
    </x:row>
    <x:row r="14">
      <x:c r="A14" s="51" t="str">
        <x:v>SRC-010</x:v>
      </x:c>
      <x:c r="B14" s="51" t="str">
        <x:v>Anthropic</x:v>
      </x:c>
      <x:c r="C14" s="51" t="str">
        <x:v>anthropic.com</x:v>
      </x:c>
      <x:c r="D14" s="51" t="str">
        <x:v>Uploaded list</x:v>
      </x:c>
      <x:c r="E14" s="51" t="str">
        <x:v>Primary source</x:v>
      </x:c>
      <x:c r="F14" s="51" t="str">
        <x:v>Yes</x:v>
      </x:c>
      <x:c r="G14" s="51" t="str">
        <x:v>Yes</x:v>
      </x:c>
      <x:c r="H14" s="51" t="str">
        <x:v>Primary/self-report</x:v>
      </x:c>
      <x:c r="I14" s="51" t="str">
        <x:v>Unknown / verify</x:v>
      </x:c>
      <x:c r="J14" s="51" t="str"/>
      <x:c r="K14" s="51" t="str"/>
      <x:c r="L14" s="51" t="str">
        <x:v>High</x:v>
      </x:c>
      <x:c r="M14" s="51" t="str">
        <x:v>Models / Research</x:v>
      </x:c>
      <x:c r="N14" s="51" t="str">
        <x:v>P1</x:v>
      </x:c>
      <x:c r="O14" s="51" t="str">
        <x:v>Unknown / verify</x:v>
      </x:c>
      <x:c r="P14" s="51" t="str">
        <x:v>Yes</x:v>
      </x:c>
      <x:c r="Q14" s="51" t="str">
        <x:v>Pending</x:v>
      </x:c>
      <x:c r="R14" s="51" t="str">
        <x:v>Strong candidate for direct monitoring; broader claims may still need corroboration.</x:v>
      </x:c>
    </x:row>
    <x:row r="15">
      <x:c r="A15" s="51" t="str">
        <x:v>SRC-011</x:v>
      </x:c>
      <x:c r="B15" s="51" t="str">
        <x:v>Ars Technica</x:v>
      </x:c>
      <x:c r="C15" s="51" t="str">
        <x:v>arstechnica.com</x:v>
      </x:c>
      <x:c r="D15" s="51" t="str">
        <x:v>Uploaded list</x:v>
      </x:c>
      <x:c r="E15" s="51" t="str">
        <x:v>Original journalism</x:v>
      </x:c>
      <x:c r="F15" s="51" t="str">
        <x:v>Yes</x:v>
      </x:c>
      <x:c r="G15" s="51" t="str">
        <x:v>Yes</x:v>
      </x:c>
      <x:c r="H15" s="51" t="str">
        <x:v>Original reporting likely</x:v>
      </x:c>
      <x:c r="I15" s="51" t="str">
        <x:v>Unknown / verify</x:v>
      </x:c>
      <x:c r="J15" s="51" t="str"/>
      <x:c r="K15" s="51" t="str"/>
      <x:c r="L15" s="51" t="str">
        <x:v>High</x:v>
      </x:c>
      <x:c r="M15" s="51" t="str">
        <x:v>General / AI</x:v>
      </x:c>
      <x:c r="N15" s="51" t="str">
        <x:v>P1</x:v>
      </x:c>
      <x:c r="O15" s="51" t="str">
        <x:v>Unknown / verify</x:v>
      </x:c>
      <x:c r="P15" s="51" t="str">
        <x:v>Yes</x:v>
      </x:c>
      <x:c r="Q15" s="51" t="str">
        <x:v>Pending</x:v>
      </x:c>
      <x:c r="R15" s="51" t="str">
        <x:v>Candidate for direct citation when article itself is the original reporting.</x:v>
      </x:c>
    </x:row>
    <x:row r="16">
      <x:c r="A16" s="51" t="str">
        <x:v>SRC-012</x:v>
      </x:c>
      <x:c r="B16" s="51" t="str">
        <x:v>arXiv</x:v>
      </x:c>
      <x:c r="C16" s="51" t="str">
        <x:v>arxiv.org</x:v>
      </x:c>
      <x:c r="D16" s="51" t="str">
        <x:v>Uploaded list</x:v>
      </x:c>
      <x:c r="E16" s="51" t="str">
        <x:v>Research / analysis</x:v>
      </x:c>
      <x:c r="F16" s="51" t="str">
        <x:v>Yes</x:v>
      </x:c>
      <x:c r="G16" s="51" t="str">
        <x:v>Conditional</x:v>
      </x:c>
      <x:c r="H16" s="51" t="str">
        <x:v>Analysis/research</x:v>
      </x:c>
      <x:c r="I16" s="51" t="str">
        <x:v>Unknown / verify</x:v>
      </x:c>
      <x:c r="J16" s="51" t="str"/>
      <x:c r="K16" s="51" t="str"/>
      <x:c r="L16" s="51" t="str">
        <x:v>Medium</x:v>
      </x:c>
      <x:c r="M16" s="51" t="str">
        <x:v>Research</x:v>
      </x:c>
      <x:c r="N16" s="51" t="str">
        <x:v>P2</x:v>
      </x:c>
      <x:c r="O16" s="51" t="str">
        <x:v>Unknown / verify</x:v>
      </x:c>
      <x:c r="P16" s="51" t="str">
        <x:v>Yes</x:v>
      </x:c>
      <x:c r="Q16" s="51" t="str">
        <x:v>Pending</x:v>
      </x:c>
      <x:c r="R16" s="51" t="str">
        <x:v>Useful for research/context; citation depends on item type and relevance.</x:v>
      </x:c>
    </x:row>
    <x:row r="17">
      <x:c r="A17" s="51" t="str">
        <x:v>SRC-013</x:v>
      </x:c>
      <x:c r="B17" s="51" t="str">
        <x:v>Associated Press</x:v>
      </x:c>
      <x:c r="C17" s="51" t="str">
        <x:v>apnews.com</x:v>
      </x:c>
      <x:c r="D17" s="51" t="str">
        <x:v>Uploaded list</x:v>
      </x:c>
      <x:c r="E17" s="51" t="str">
        <x:v>Original journalism</x:v>
      </x:c>
      <x:c r="F17" s="51" t="str">
        <x:v>Yes</x:v>
      </x:c>
      <x:c r="G17" s="51" t="str">
        <x:v>Yes</x:v>
      </x:c>
      <x:c r="H17" s="51" t="str">
        <x:v>Original reporting likely</x:v>
      </x:c>
      <x:c r="I17" s="51" t="str">
        <x:v>Unknown / verify</x:v>
      </x:c>
      <x:c r="J17" s="51" t="str"/>
      <x:c r="K17" s="51" t="str"/>
      <x:c r="L17" s="51" t="str">
        <x:v>High</x:v>
      </x:c>
      <x:c r="M17" s="51" t="str">
        <x:v>General / AI</x:v>
      </x:c>
      <x:c r="N17" s="51" t="str">
        <x:v>P1</x:v>
      </x:c>
      <x:c r="O17" s="51" t="str">
        <x:v>Unknown / verify</x:v>
      </x:c>
      <x:c r="P17" s="51" t="str">
        <x:v>Yes</x:v>
      </x:c>
      <x:c r="Q17" s="51" t="str">
        <x:v>Pending</x:v>
      </x:c>
      <x:c r="R17" s="51" t="str">
        <x:v>Candidate for direct citation when article itself is the original reporting.</x:v>
      </x:c>
    </x:row>
    <x:row r="18">
      <x:c r="A18" s="51" t="str">
        <x:v>SRC-014</x:v>
      </x:c>
      <x:c r="B18" s="51" t="str">
        <x:v>Axios</x:v>
      </x:c>
      <x:c r="C18" s="51" t="str">
        <x:v>axios.com</x:v>
      </x:c>
      <x:c r="D18" s="51" t="str">
        <x:v>Uploaded list</x:v>
      </x:c>
      <x:c r="E18" s="51" t="str">
        <x:v>Original journalism</x:v>
      </x:c>
      <x:c r="F18" s="51" t="str">
        <x:v>Yes</x:v>
      </x:c>
      <x:c r="G18" s="51" t="str">
        <x:v>Yes</x:v>
      </x:c>
      <x:c r="H18" s="51" t="str">
        <x:v>Original reporting likely</x:v>
      </x:c>
      <x:c r="I18" s="51" t="str">
        <x:v>Unknown / verify</x:v>
      </x:c>
      <x:c r="J18" s="51" t="str"/>
      <x:c r="K18" s="51" t="str"/>
      <x:c r="L18" s="51" t="str">
        <x:v>High</x:v>
      </x:c>
      <x:c r="M18" s="51" t="str">
        <x:v>General / AI</x:v>
      </x:c>
      <x:c r="N18" s="51" t="str">
        <x:v>P1</x:v>
      </x:c>
      <x:c r="O18" s="51" t="str">
        <x:v>Unknown / verify</x:v>
      </x:c>
      <x:c r="P18" s="51" t="str">
        <x:v>Yes</x:v>
      </x:c>
      <x:c r="Q18" s="51" t="str">
        <x:v>Pending</x:v>
      </x:c>
      <x:c r="R18" s="51" t="str">
        <x:v>Candidate for direct citation when article itself is the original reporting.</x:v>
      </x:c>
    </x:row>
    <x:row r="19">
      <x:c r="A19" s="51" t="str">
        <x:v>SRC-015</x:v>
      </x:c>
      <x:c r="B19" s="51" t="str">
        <x:v>Ben's Bites</x:v>
      </x:c>
      <x:c r="C19" s="51" t="str"/>
      <x:c r="D19" s="51" t="str">
        <x:v>Competitor/discovery candidate</x:v>
      </x:c>
      <x:c r="E19" s="51" t="str">
        <x:v>Discovery-only</x:v>
      </x:c>
      <x:c r="F19" s="51" t="str">
        <x:v>Yes</x:v>
      </x:c>
      <x:c r="G19" s="51" t="str">
        <x:v>No</x:v>
      </x:c>
      <x:c r="H19" s="51" t="str">
        <x:v>Lead generation</x:v>
      </x:c>
      <x:c r="I19" s="51" t="str">
        <x:v>Unknown / verify</x:v>
      </x:c>
      <x:c r="J19" s="51" t="str"/>
      <x:c r="K19" s="51" t="str"/>
      <x:c r="L19" s="51" t="str">
        <x:v>High</x:v>
      </x:c>
      <x:c r="M19" s="51" t="str">
        <x:v>General / AI</x:v>
      </x:c>
      <x:c r="N19" s="51" t="str">
        <x:v>P1</x:v>
      </x:c>
      <x:c r="O19" s="51" t="str">
        <x:v>Unknown / verify</x:v>
      </x:c>
      <x:c r="P19" s="51" t="str">
        <x:v>Yes</x:v>
      </x:c>
      <x:c r="Q19" s="51" t="str">
        <x:v>Pending</x:v>
      </x:c>
      <x:c r="R19" s="51" t="str">
        <x:v>Use to discover leads; resolve to primary source/original reporting before review.</x:v>
      </x:c>
    </x:row>
    <x:row r="20">
      <x:c r="A20" s="51" t="str">
        <x:v>SRC-016</x:v>
      </x:c>
      <x:c r="B20" s="51" t="str">
        <x:v>BigGo Finance</x:v>
      </x:c>
      <x:c r="C20" s="51" t="str">
        <x:v>finance.biggo.com</x:v>
      </x:c>
      <x:c r="D20" s="51" t="str">
        <x:v>Uploaded list</x:v>
      </x:c>
      <x:c r="E20" s="51" t="str">
        <x:v>Exclude / background</x:v>
      </x:c>
      <x:c r="F20" s="51" t="str">
        <x:v>No</x:v>
      </x:c>
      <x:c r="G20" s="51" t="str">
        <x:v>No</x:v>
      </x:c>
      <x:c r="H20" s="51" t="str">
        <x:v>Background/aggregation</x:v>
      </x:c>
      <x:c r="I20" s="51" t="str">
        <x:v>Unknown / verify</x:v>
      </x:c>
      <x:c r="J20" s="51" t="str">
        <x:v>Not listed</x:v>
      </x:c>
      <x:c r="K20" s="51" t="str">
        <x:v>Tier 3</x:v>
      </x:c>
      <x:c r="L20" s="51" t="str">
        <x:v>High</x:v>
      </x:c>
      <x:c r="M20" s="51" t="str">
        <x:v>General / AI</x:v>
      </x:c>
      <x:c r="N20" s="51" t="str">
        <x:v>P3</x:v>
      </x:c>
      <x:c r="O20" s="51" t="str">
        <x:v>Unknown / verify</x:v>
      </x:c>
      <x:c r="P20" s="51" t="str">
        <x:v>No</x:v>
      </x:c>
      <x:c r="Q20" s="51" t="str">
        <x:v>Pending</x:v>
      </x:c>
      <x:c r="R20" s="51" t="str">
        <x:v>Content-aggregation site, low editorial independence | Do not use as final news citation; retain only for background or lead discovery if later enabled.</x:v>
      </x:c>
    </x:row>
    <x:row r="21">
      <x:c r="A21" s="51" t="str">
        <x:v>SRC-017</x:v>
      </x:c>
      <x:c r="B21" s="51" t="str">
        <x:v>BleepingComputer</x:v>
      </x:c>
      <x:c r="C21" s="51" t="str">
        <x:v>bleepingcomputer.com</x:v>
      </x:c>
      <x:c r="D21" s="51" t="str">
        <x:v>Uploaded list</x:v>
      </x:c>
      <x:c r="E21" s="51" t="str">
        <x:v>Original journalism</x:v>
      </x:c>
      <x:c r="F21" s="51" t="str">
        <x:v>Yes</x:v>
      </x:c>
      <x:c r="G21" s="51" t="str">
        <x:v>Yes</x:v>
      </x:c>
      <x:c r="H21" s="51" t="str">
        <x:v>Original reporting likely</x:v>
      </x:c>
      <x:c r="I21" s="51" t="str">
        <x:v>Unknown / verify</x:v>
      </x:c>
      <x:c r="J21" s="51" t="str">
        <x:v>Not listed</x:v>
      </x:c>
      <x:c r="K21" s="51" t="str">
        <x:v>Tier 1</x:v>
      </x:c>
      <x:c r="L21" s="51" t="str">
        <x:v>High</x:v>
      </x:c>
      <x:c r="M21" s="51" t="str">
        <x:v>Security</x:v>
      </x:c>
      <x:c r="N21" s="51" t="str">
        <x:v>P1</x:v>
      </x:c>
      <x:c r="O21" s="51" t="str">
        <x:v>Unknown / verify</x:v>
      </x:c>
      <x:c r="P21" s="51" t="str">
        <x:v>Yes</x:v>
      </x:c>
      <x:c r="Q21" s="51" t="str">
        <x:v>Pending</x:v>
      </x:c>
      <x:c r="R21" s="51" t="str">
        <x:v>20+ yr security trade press; recommend approve | Candidate for direct citation when article itself is the original reporting.</x:v>
      </x:c>
    </x:row>
    <x:row r="22">
      <x:c r="A22" s="51" t="str">
        <x:v>SRC-018</x:v>
      </x:c>
      <x:c r="B22" s="51" t="str">
        <x:v>blog.mean.ceo</x:v>
      </x:c>
      <x:c r="C22" s="51" t="str"/>
      <x:c r="D22" s="51" t="str">
        <x:v>Uploaded list</x:v>
      </x:c>
      <x:c r="E22" s="51" t="str">
        <x:v>Vendor / self-report</x:v>
      </x:c>
      <x:c r="F22" s="51" t="str">
        <x:v>Yes</x:v>
      </x:c>
      <x:c r="G22" s="51" t="str">
        <x:v>Conditional</x:v>
      </x:c>
      <x:c r="H22" s="51" t="str">
        <x:v>Self-report</x:v>
      </x:c>
      <x:c r="I22" s="51" t="str">
        <x:v>Unknown / verify</x:v>
      </x:c>
      <x:c r="J22" s="51" t="str">
        <x:v>Not listed</x:v>
      </x:c>
      <x:c r="K22" s="51" t="str">
        <x:v>Tier 3</x:v>
      </x:c>
      <x:c r="L22" s="51" t="str">
        <x:v>Medium</x:v>
      </x:c>
      <x:c r="M22" s="51" t="str">
        <x:v>General / AI</x:v>
      </x:c>
      <x:c r="N22" s="51" t="str">
        <x:v>P2</x:v>
      </x:c>
      <x:c r="O22" s="51" t="str">
        <x:v>Unknown / verify</x:v>
      </x:c>
      <x:c r="P22" s="51" t="str">
        <x:v>Yes</x:v>
      </x:c>
      <x:c r="Q22" s="51" t="str">
        <x:v>Pending</x:v>
      </x:c>
      <x:c r="R22" s="51" t="str">
        <x:v>Personal/company blog, low recognition | Eligible for own research/announcement; corroborate broader claims when practical.</x:v>
      </x:c>
    </x:row>
    <x:row r="23">
      <x:c r="A23" s="51" t="str">
        <x:v>SRC-019</x:v>
      </x:c>
      <x:c r="B23" s="51" t="str">
        <x:v>Bloomberg</x:v>
      </x:c>
      <x:c r="C23" s="51" t="str">
        <x:v>bloomberg.com</x:v>
      </x:c>
      <x:c r="D23" s="51" t="str">
        <x:v>Uploaded list</x:v>
      </x:c>
      <x:c r="E23" s="51" t="str">
        <x:v>Original journalism</x:v>
      </x:c>
      <x:c r="F23" s="51" t="str">
        <x:v>Yes</x:v>
      </x:c>
      <x:c r="G23" s="51" t="str">
        <x:v>Yes</x:v>
      </x:c>
      <x:c r="H23" s="51" t="str">
        <x:v>Original reporting likely</x:v>
      </x:c>
      <x:c r="I23" s="51" t="str">
        <x:v>Paywalled / variable</x:v>
      </x:c>
      <x:c r="J23" s="51" t="str"/>
      <x:c r="K23" s="51" t="str"/>
      <x:c r="L23" s="51" t="str">
        <x:v>High</x:v>
      </x:c>
      <x:c r="M23" s="51" t="str">
        <x:v>General / AI</x:v>
      </x:c>
      <x:c r="N23" s="51" t="str">
        <x:v>P1</x:v>
      </x:c>
      <x:c r="O23" s="51" t="str">
        <x:v>Unknown / verify</x:v>
      </x:c>
      <x:c r="P23" s="51" t="str">
        <x:v>Yes</x:v>
      </x:c>
      <x:c r="Q23" s="51" t="str">
        <x:v>Pending</x:v>
      </x:c>
      <x:c r="R23" s="51" t="str">
        <x:v>Candidate for direct citation when article itself is the original reporting.</x:v>
      </x:c>
    </x:row>
    <x:row r="24">
      <x:c r="A24" s="51" t="str">
        <x:v>SRC-020</x:v>
      </x:c>
      <x:c r="B24" s="51" t="str">
        <x:v>BuildFastWithAI</x:v>
      </x:c>
      <x:c r="C24" s="51" t="str">
        <x:v>buildfastwithai.com</x:v>
      </x:c>
      <x:c r="D24" s="51" t="str">
        <x:v>Uploaded list</x:v>
      </x:c>
      <x:c r="E24" s="51" t="str">
        <x:v>Vendor / self-report</x:v>
      </x:c>
      <x:c r="F24" s="51" t="str">
        <x:v>Yes</x:v>
      </x:c>
      <x:c r="G24" s="51" t="str">
        <x:v>Conditional</x:v>
      </x:c>
      <x:c r="H24" s="51" t="str">
        <x:v>Self-report</x:v>
      </x:c>
      <x:c r="I24" s="51" t="str">
        <x:v>Unknown / verify</x:v>
      </x:c>
      <x:c r="J24" s="51" t="str">
        <x:v>Pending review</x:v>
      </x:c>
      <x:c r="K24" s="51" t="str">
        <x:v>Tier 2</x:v>
      </x:c>
      <x:c r="L24" s="51" t="str">
        <x:v>Medium</x:v>
      </x:c>
      <x:c r="M24" s="51" t="str">
        <x:v>General / AI</x:v>
      </x:c>
      <x:c r="N24" s="51" t="str">
        <x:v>P2</x:v>
      </x:c>
      <x:c r="O24" s="51" t="str">
        <x:v>Unknown / verify</x:v>
      </x:c>
      <x:c r="P24" s="51" t="str">
        <x:v>Yes</x:v>
      </x:c>
      <x:c r="Q24" s="51" t="str">
        <x:v>Pending</x:v>
      </x:c>
      <x:c r="R24" s="51" t="str">
        <x:v>Hit a dead link this session; verify before relying on it | Eligible for own research/announcement; corroborate broader claims when practical.</x:v>
      </x:c>
    </x:row>
    <x:row r="25">
      <x:c r="A25" s="51" t="str">
        <x:v>SRC-021</x:v>
      </x:c>
      <x:c r="B25" s="51" t="str">
        <x:v>CIO</x:v>
      </x:c>
      <x:c r="C25" s="51" t="str">
        <x:v>cio.com</x:v>
      </x:c>
      <x:c r="D25" s="51" t="str">
        <x:v>Uploaded list</x:v>
      </x:c>
      <x:c r="E25" s="51" t="str">
        <x:v>Original journalism</x:v>
      </x:c>
      <x:c r="F25" s="51" t="str">
        <x:v>Yes</x:v>
      </x:c>
      <x:c r="G25" s="51" t="str">
        <x:v>Yes</x:v>
      </x:c>
      <x:c r="H25" s="51" t="str">
        <x:v>Original reporting likely</x:v>
      </x:c>
      <x:c r="I25" s="51" t="str">
        <x:v>Unknown / verify</x:v>
      </x:c>
      <x:c r="J25" s="51" t="str"/>
      <x:c r="K25" s="51" t="str"/>
      <x:c r="L25" s="51" t="str">
        <x:v>High</x:v>
      </x:c>
      <x:c r="M25" s="51" t="str">
        <x:v>General / AI</x:v>
      </x:c>
      <x:c r="N25" s="51" t="str">
        <x:v>P1</x:v>
      </x:c>
      <x:c r="O25" s="51" t="str">
        <x:v>Unknown / verify</x:v>
      </x:c>
      <x:c r="P25" s="51" t="str">
        <x:v>Yes</x:v>
      </x:c>
      <x:c r="Q25" s="51" t="str">
        <x:v>Pending</x:v>
      </x:c>
      <x:c r="R25" s="51" t="str">
        <x:v>Candidate for direct citation when article itself is the original reporting.</x:v>
      </x:c>
    </x:row>
    <x:row r="26">
      <x:c r="A26" s="51" t="str">
        <x:v>SRC-022</x:v>
      </x:c>
      <x:c r="B26" s="51" t="str">
        <x:v>CNBC</x:v>
      </x:c>
      <x:c r="C26" s="51" t="str">
        <x:v>cnbc.com</x:v>
      </x:c>
      <x:c r="D26" s="51" t="str">
        <x:v>Uploaded list</x:v>
      </x:c>
      <x:c r="E26" s="51" t="str">
        <x:v>Original journalism</x:v>
      </x:c>
      <x:c r="F26" s="51" t="str">
        <x:v>Yes</x:v>
      </x:c>
      <x:c r="G26" s="51" t="str">
        <x:v>Yes</x:v>
      </x:c>
      <x:c r="H26" s="51" t="str">
        <x:v>Original reporting likely</x:v>
      </x:c>
      <x:c r="I26" s="51" t="str">
        <x:v>Unknown / verify</x:v>
      </x:c>
      <x:c r="J26" s="51" t="str">
        <x:v>Approved</x:v>
      </x:c>
      <x:c r="K26" s="51" t="str">
        <x:v>Tier 1</x:v>
      </x:c>
      <x:c r="L26" s="51" t="str">
        <x:v>High</x:v>
      </x:c>
      <x:c r="M26" s="51" t="str">
        <x:v>General / AI</x:v>
      </x:c>
      <x:c r="N26" s="51" t="str">
        <x:v>P1</x:v>
      </x:c>
      <x:c r="O26" s="51" t="str">
        <x:v>Unknown / verify</x:v>
      </x:c>
      <x:c r="P26" s="51" t="str">
        <x:v>Yes</x:v>
      </x:c>
      <x:c r="Q26" s="51" t="str">
        <x:v>Pending</x:v>
      </x:c>
      <x:c r="R26" s="51" t="str">
        <x:v>Major business news network (NBCUniversal) | Candidate for direct citation when article itself is the original reporting.</x:v>
      </x:c>
    </x:row>
    <x:row r="27">
      <x:c r="A27" s="51" t="str">
        <x:v>SRC-023</x:v>
      </x:c>
      <x:c r="B27" s="51" t="str">
        <x:v>CNN</x:v>
      </x:c>
      <x:c r="C27" s="51" t="str">
        <x:v>cnn.com</x:v>
      </x:c>
      <x:c r="D27" s="51" t="str">
        <x:v>Uploaded list</x:v>
      </x:c>
      <x:c r="E27" s="51" t="str">
        <x:v>Original journalism</x:v>
      </x:c>
      <x:c r="F27" s="51" t="str">
        <x:v>Yes</x:v>
      </x:c>
      <x:c r="G27" s="51" t="str">
        <x:v>Yes</x:v>
      </x:c>
      <x:c r="H27" s="51" t="str">
        <x:v>Original reporting likely</x:v>
      </x:c>
      <x:c r="I27" s="51" t="str">
        <x:v>Unknown / verify</x:v>
      </x:c>
      <x:c r="J27" s="51" t="str"/>
      <x:c r="K27" s="51" t="str"/>
      <x:c r="L27" s="51" t="str">
        <x:v>High</x:v>
      </x:c>
      <x:c r="M27" s="51" t="str">
        <x:v>General / AI</x:v>
      </x:c>
      <x:c r="N27" s="51" t="str">
        <x:v>P1</x:v>
      </x:c>
      <x:c r="O27" s="51" t="str">
        <x:v>Unknown / verify</x:v>
      </x:c>
      <x:c r="P27" s="51" t="str">
        <x:v>Yes</x:v>
      </x:c>
      <x:c r="Q27" s="51" t="str">
        <x:v>Pending</x:v>
      </x:c>
      <x:c r="R27" s="51" t="str">
        <x:v>Candidate for direct citation when article itself is the original reporting.</x:v>
      </x:c>
    </x:row>
    <x:row r="28">
      <x:c r="A28" s="51" t="str">
        <x:v>SRC-024</x:v>
      </x:c>
      <x:c r="B28" s="51" t="str">
        <x:v>Council of the EU</x:v>
      </x:c>
      <x:c r="C28" s="51" t="str">
        <x:v>consilium.europa.eu</x:v>
      </x:c>
      <x:c r="D28" s="51" t="str">
        <x:v>Uploaded list</x:v>
      </x:c>
      <x:c r="E28" s="51" t="str">
        <x:v>Primary source</x:v>
      </x:c>
      <x:c r="F28" s="51" t="str">
        <x:v>Yes</x:v>
      </x:c>
      <x:c r="G28" s="51" t="str">
        <x:v>Yes</x:v>
      </x:c>
      <x:c r="H28" s="51" t="str">
        <x:v>Primary/self-report</x:v>
      </x:c>
      <x:c r="I28" s="51" t="str">
        <x:v>Unknown / verify</x:v>
      </x:c>
      <x:c r="J28" s="51" t="str"/>
      <x:c r="K28" s="51" t="str"/>
      <x:c r="L28" s="51" t="str">
        <x:v>High</x:v>
      </x:c>
      <x:c r="M28" s="51" t="str">
        <x:v>Governance</x:v>
      </x:c>
      <x:c r="N28" s="51" t="str">
        <x:v>P1</x:v>
      </x:c>
      <x:c r="O28" s="51" t="str">
        <x:v>Unknown / verify</x:v>
      </x:c>
      <x:c r="P28" s="51" t="str">
        <x:v>Yes</x:v>
      </x:c>
      <x:c r="Q28" s="51" t="str">
        <x:v>Pending</x:v>
      </x:c>
      <x:c r="R28" s="51" t="str">
        <x:v>Strong candidate for direct monitoring; broader claims may still need corroboration.</x:v>
      </x:c>
    </x:row>
    <x:row r="29">
      <x:c r="A29" s="51" t="str">
        <x:v>SRC-025</x:v>
      </x:c>
      <x:c r="B29" s="51" t="str">
        <x:v>Cybernews</x:v>
      </x:c>
      <x:c r="C29" s="51" t="str">
        <x:v>cybernews.com</x:v>
      </x:c>
      <x:c r="D29" s="51" t="str">
        <x:v>Uploaded list</x:v>
      </x:c>
      <x:c r="E29" s="51" t="str">
        <x:v>Specialist trade / regional</x:v>
      </x:c>
      <x:c r="F29" s="51" t="str">
        <x:v>Yes</x:v>
      </x:c>
      <x:c r="G29" s="51" t="str">
        <x:v>Conditional</x:v>
      </x:c>
      <x:c r="H29" s="51" t="str">
        <x:v>Original reporting varies</x:v>
      </x:c>
      <x:c r="I29" s="51" t="str">
        <x:v>Unknown / verify</x:v>
      </x:c>
      <x:c r="J29" s="51" t="str">
        <x:v>Not listed</x:v>
      </x:c>
      <x:c r="K29" s="51" t="str">
        <x:v>Tier 3</x:v>
      </x:c>
      <x:c r="L29" s="51" t="str">
        <x:v>Medium</x:v>
      </x:c>
      <x:c r="M29" s="51" t="str">
        <x:v>General / AI</x:v>
      </x:c>
      <x:c r="N29" s="51" t="str">
        <x:v>P2</x:v>
      </x:c>
      <x:c r="O29" s="51" t="str">
        <x:v>Unknown / verify</x:v>
      </x:c>
      <x:c r="P29" s="51" t="str">
        <x:v>Yes</x:v>
      </x:c>
      <x:c r="Q29" s="51" t="str">
        <x:v>Pending</x:v>
      </x:c>
      <x:c r="R29" s="51" t="str">
        <x:v>Mixed — some original research, some clickbait; verify | Use article-level judgment; verify whether reporting is original or syndicated.</x:v>
      </x:c>
    </x:row>
    <x:row r="30">
      <x:c r="A30" s="51" t="str">
        <x:v>SRC-026</x:v>
      </x:c>
      <x:c r="B30" s="51" t="str">
        <x:v>Dark Reading</x:v>
      </x:c>
      <x:c r="C30" s="51" t="str">
        <x:v>darkreading.com</x:v>
      </x:c>
      <x:c r="D30" s="51" t="str">
        <x:v>Uploaded list</x:v>
      </x:c>
      <x:c r="E30" s="51" t="str">
        <x:v>Original journalism</x:v>
      </x:c>
      <x:c r="F30" s="51" t="str">
        <x:v>Yes</x:v>
      </x:c>
      <x:c r="G30" s="51" t="str">
        <x:v>Yes</x:v>
      </x:c>
      <x:c r="H30" s="51" t="str">
        <x:v>Original reporting likely</x:v>
      </x:c>
      <x:c r="I30" s="51" t="str">
        <x:v>Unknown / verify</x:v>
      </x:c>
      <x:c r="J30" s="51" t="str">
        <x:v>Not listed</x:v>
      </x:c>
      <x:c r="K30" s="51" t="str">
        <x:v>Tier 1</x:v>
      </x:c>
      <x:c r="L30" s="51" t="str">
        <x:v>High</x:v>
      </x:c>
      <x:c r="M30" s="51" t="str">
        <x:v>Security</x:v>
      </x:c>
      <x:c r="N30" s="51" t="str">
        <x:v>P1</x:v>
      </x:c>
      <x:c r="O30" s="51" t="str">
        <x:v>Unknown / verify</x:v>
      </x:c>
      <x:c r="P30" s="51" t="str">
        <x:v>Yes</x:v>
      </x:c>
      <x:c r="Q30" s="51" t="str">
        <x:v>Pending</x:v>
      </x:c>
      <x:c r="R30" s="51" t="str">
        <x:v>Informa-owned security trade press; recommend approve | Candidate for direct citation when article itself is the original reporting.</x:v>
      </x:c>
    </x:row>
    <x:row r="31">
      <x:c r="A31" s="51" t="str">
        <x:v>SRC-027</x:v>
      </x:c>
      <x:c r="B31" s="51" t="str">
        <x:v>Dentro</x:v>
      </x:c>
      <x:c r="C31" s="51" t="str">
        <x:v>dentro.de</x:v>
      </x:c>
      <x:c r="D31" s="51" t="str">
        <x:v>Uploaded list</x:v>
      </x:c>
      <x:c r="E31" s="51" t="str">
        <x:v>Exclude / background</x:v>
      </x:c>
      <x:c r="F31" s="51" t="str">
        <x:v>No</x:v>
      </x:c>
      <x:c r="G31" s="51" t="str">
        <x:v>No</x:v>
      </x:c>
      <x:c r="H31" s="51" t="str">
        <x:v>Background/aggregation</x:v>
      </x:c>
      <x:c r="I31" s="51" t="str">
        <x:v>Unknown / verify</x:v>
      </x:c>
      <x:c r="J31" s="51" t="str">
        <x:v>Not listed</x:v>
      </x:c>
      <x:c r="K31" s="51" t="str">
        <x:v>Tier 3</x:v>
      </x:c>
      <x:c r="L31" s="51" t="str">
        <x:v>High</x:v>
      </x:c>
      <x:c r="M31" s="51" t="str">
        <x:v>General / AI</x:v>
      </x:c>
      <x:c r="N31" s="51" t="str">
        <x:v>P3</x:v>
      </x:c>
      <x:c r="O31" s="51" t="str">
        <x:v>Unknown / verify</x:v>
      </x:c>
      <x:c r="P31" s="51" t="str">
        <x:v>No</x:v>
      </x:c>
      <x:c r="Q31" s="51" t="str">
        <x:v>Pending</x:v>
      </x:c>
      <x:c r="R31" s="51" t="str">
        <x:v>Low-recognition foreign blog | Do not use as final news citation; retain only for background or lead discovery if later enabled.</x:v>
      </x:c>
    </x:row>
    <x:row r="32">
      <x:c r="A32" s="51" t="str">
        <x:v>SRC-028</x:v>
      </x:c>
      <x:c r="B32" s="51" t="str">
        <x:v>Digit</x:v>
      </x:c>
      <x:c r="C32" s="51" t="str">
        <x:v>digit.in</x:v>
      </x:c>
      <x:c r="D32" s="51" t="str">
        <x:v>Uploaded list</x:v>
      </x:c>
      <x:c r="E32" s="51" t="str">
        <x:v>Specialist trade / regional</x:v>
      </x:c>
      <x:c r="F32" s="51" t="str">
        <x:v>Yes</x:v>
      </x:c>
      <x:c r="G32" s="51" t="str">
        <x:v>Conditional</x:v>
      </x:c>
      <x:c r="H32" s="51" t="str">
        <x:v>Original reporting varies</x:v>
      </x:c>
      <x:c r="I32" s="51" t="str">
        <x:v>Unknown / verify</x:v>
      </x:c>
      <x:c r="J32" s="51" t="str">
        <x:v>Not listed</x:v>
      </x:c>
      <x:c r="K32" s="51" t="str">
        <x:v>Tier 2</x:v>
      </x:c>
      <x:c r="L32" s="51" t="str">
        <x:v>Medium</x:v>
      </x:c>
      <x:c r="M32" s="51" t="str">
        <x:v>General / AI</x:v>
      </x:c>
      <x:c r="N32" s="51" t="str">
        <x:v>P2</x:v>
      </x:c>
      <x:c r="O32" s="51" t="str">
        <x:v>Unknown / verify</x:v>
      </x:c>
      <x:c r="P32" s="51" t="str">
        <x:v>Yes</x:v>
      </x:c>
      <x:c r="Q32" s="51" t="str">
        <x:v>Pending</x:v>
      </x:c>
      <x:c r="R32" s="51" t="str">
        <x:v>Legitimate but narrow India-focused tech audience | Use article-level judgment; verify whether reporting is original or syndicated.</x:v>
      </x:c>
    </x:row>
    <x:row r="33">
      <x:c r="A33" s="51" t="str">
        <x:v>SRC-029</x:v>
      </x:c>
      <x:c r="B33" s="51" t="str">
        <x:v>Dominant Digitally</x:v>
      </x:c>
      <x:c r="C33" s="51" t="str">
        <x:v>dominantdigitally.com</x:v>
      </x:c>
      <x:c r="D33" s="51" t="str">
        <x:v>Uploaded list</x:v>
      </x:c>
      <x:c r="E33" s="51" t="str">
        <x:v>Vendor / self-report</x:v>
      </x:c>
      <x:c r="F33" s="51" t="str">
        <x:v>Yes</x:v>
      </x:c>
      <x:c r="G33" s="51" t="str">
        <x:v>Conditional</x:v>
      </x:c>
      <x:c r="H33" s="51" t="str">
        <x:v>Self-report</x:v>
      </x:c>
      <x:c r="I33" s="51" t="str">
        <x:v>Unknown / verify</x:v>
      </x:c>
      <x:c r="J33" s="51" t="str"/>
      <x:c r="K33" s="51" t="str"/>
      <x:c r="L33" s="51" t="str">
        <x:v>Medium</x:v>
      </x:c>
      <x:c r="M33" s="51" t="str">
        <x:v>General / AI</x:v>
      </x:c>
      <x:c r="N33" s="51" t="str">
        <x:v>P2</x:v>
      </x:c>
      <x:c r="O33" s="51" t="str">
        <x:v>Unknown / verify</x:v>
      </x:c>
      <x:c r="P33" s="51" t="str">
        <x:v>Yes</x:v>
      </x:c>
      <x:c r="Q33" s="51" t="str">
        <x:v>Pending</x:v>
      </x:c>
      <x:c r="R33" s="51" t="str">
        <x:v>Eligible for own research/announcement; corroborate broader claims when practical.</x:v>
      </x:c>
    </x:row>
    <x:row r="34">
      <x:c r="A34" s="51" t="str">
        <x:v>SRC-030</x:v>
      </x:c>
      <x:c r="B34" s="51" t="str">
        <x:v>Engadget</x:v>
      </x:c>
      <x:c r="C34" s="51" t="str">
        <x:v>engadget.com</x:v>
      </x:c>
      <x:c r="D34" s="51" t="str">
        <x:v>Uploaded list</x:v>
      </x:c>
      <x:c r="E34" s="51" t="str">
        <x:v>Original journalism</x:v>
      </x:c>
      <x:c r="F34" s="51" t="str">
        <x:v>Yes</x:v>
      </x:c>
      <x:c r="G34" s="51" t="str">
        <x:v>Yes</x:v>
      </x:c>
      <x:c r="H34" s="51" t="str">
        <x:v>Original reporting likely</x:v>
      </x:c>
      <x:c r="I34" s="51" t="str">
        <x:v>Unknown / verify</x:v>
      </x:c>
      <x:c r="J34" s="51" t="str"/>
      <x:c r="K34" s="51" t="str"/>
      <x:c r="L34" s="51" t="str">
        <x:v>High</x:v>
      </x:c>
      <x:c r="M34" s="51" t="str">
        <x:v>General / AI</x:v>
      </x:c>
      <x:c r="N34" s="51" t="str">
        <x:v>P1</x:v>
      </x:c>
      <x:c r="O34" s="51" t="str">
        <x:v>Unknown / verify</x:v>
      </x:c>
      <x:c r="P34" s="51" t="str">
        <x:v>Yes</x:v>
      </x:c>
      <x:c r="Q34" s="51" t="str">
        <x:v>Pending</x:v>
      </x:c>
      <x:c r="R34" s="51" t="str">
        <x:v>Candidate for direct citation when article itself is the original reporting.</x:v>
      </x:c>
    </x:row>
    <x:row r="35">
      <x:c r="A35" s="51" t="str">
        <x:v>SRC-031</x:v>
      </x:c>
      <x:c r="B35" s="51" t="str">
        <x:v>Federal Register</x:v>
      </x:c>
      <x:c r="C35" s="51" t="str">
        <x:v>federalregister.gov</x:v>
      </x:c>
      <x:c r="D35" s="51" t="str">
        <x:v>Uploaded list</x:v>
      </x:c>
      <x:c r="E35" s="51" t="str">
        <x:v>Primary source</x:v>
      </x:c>
      <x:c r="F35" s="51" t="str">
        <x:v>Yes</x:v>
      </x:c>
      <x:c r="G35" s="51" t="str">
        <x:v>Yes</x:v>
      </x:c>
      <x:c r="H35" s="51" t="str">
        <x:v>Primary/self-report</x:v>
      </x:c>
      <x:c r="I35" s="51" t="str">
        <x:v>Unknown / verify</x:v>
      </x:c>
      <x:c r="J35" s="51" t="str"/>
      <x:c r="K35" s="51" t="str"/>
      <x:c r="L35" s="51" t="str">
        <x:v>High</x:v>
      </x:c>
      <x:c r="M35" s="51" t="str">
        <x:v>Governance</x:v>
      </x:c>
      <x:c r="N35" s="51" t="str">
        <x:v>P1</x:v>
      </x:c>
      <x:c r="O35" s="51" t="str">
        <x:v>Unknown / verify</x:v>
      </x:c>
      <x:c r="P35" s="51" t="str">
        <x:v>Yes</x:v>
      </x:c>
      <x:c r="Q35" s="51" t="str">
        <x:v>Pending</x:v>
      </x:c>
      <x:c r="R35" s="51" t="str">
        <x:v>Strong candidate for direct monitoring; broader claims may still need corroboration.</x:v>
      </x:c>
    </x:row>
    <x:row r="36">
      <x:c r="A36" s="51" t="str">
        <x:v>SRC-032</x:v>
      </x:c>
      <x:c r="B36" s="51" t="str">
        <x:v>Feedly</x:v>
      </x:c>
      <x:c r="C36" s="51" t="str">
        <x:v>feedly.com</x:v>
      </x:c>
      <x:c r="D36" s="51" t="str">
        <x:v>Discovery tooling, not a publisher</x:v>
      </x:c>
      <x:c r="E36" s="51" t="str">
        <x:v>Utility / tooling</x:v>
      </x:c>
      <x:c r="F36" s="51" t="str">
        <x:v>Yes</x:v>
      </x:c>
      <x:c r="G36" s="51" t="str">
        <x:v>No</x:v>
      </x:c>
      <x:c r="H36" s="51" t="str">
        <x:v>N/A</x:v>
      </x:c>
      <x:c r="I36" s="51" t="str">
        <x:v>Unknown / verify</x:v>
      </x:c>
      <x:c r="J36" s="51" t="str"/>
      <x:c r="K36" s="51" t="str"/>
      <x:c r="L36" s="51" t="str">
        <x:v>High</x:v>
      </x:c>
      <x:c r="M36" s="51" t="str">
        <x:v>General / AI</x:v>
      </x:c>
      <x:c r="N36" s="51" t="str">
        <x:v>P2</x:v>
      </x:c>
      <x:c r="O36" s="51" t="str">
        <x:v>Unknown / verify</x:v>
      </x:c>
      <x:c r="P36" s="51" t="str">
        <x:v>Yes</x:v>
      </x:c>
      <x:c r="Q36" s="51" t="str">
        <x:v>Pending</x:v>
      </x:c>
      <x:c r="R36" s="51" t="str">
        <x:v>Tooling only; not a publisher or final citation.</x:v>
      </x:c>
    </x:row>
    <x:row r="37">
      <x:c r="A37" s="51" t="str">
        <x:v>SRC-033</x:v>
      </x:c>
      <x:c r="B37" s="51" t="str">
        <x:v>Financial Times</x:v>
      </x:c>
      <x:c r="C37" s="51" t="str">
        <x:v>ft.com</x:v>
      </x:c>
      <x:c r="D37" s="51" t="str">
        <x:v>Uploaded list</x:v>
      </x:c>
      <x:c r="E37" s="51" t="str">
        <x:v>Original journalism</x:v>
      </x:c>
      <x:c r="F37" s="51" t="str">
        <x:v>Yes</x:v>
      </x:c>
      <x:c r="G37" s="51" t="str">
        <x:v>Yes</x:v>
      </x:c>
      <x:c r="H37" s="51" t="str">
        <x:v>Original reporting likely</x:v>
      </x:c>
      <x:c r="I37" s="51" t="str">
        <x:v>Paywalled / variable</x:v>
      </x:c>
      <x:c r="J37" s="51" t="str"/>
      <x:c r="K37" s="51" t="str"/>
      <x:c r="L37" s="51" t="str">
        <x:v>High</x:v>
      </x:c>
      <x:c r="M37" s="51" t="str">
        <x:v>General / AI</x:v>
      </x:c>
      <x:c r="N37" s="51" t="str">
        <x:v>P1</x:v>
      </x:c>
      <x:c r="O37" s="51" t="str">
        <x:v>Unknown / verify</x:v>
      </x:c>
      <x:c r="P37" s="51" t="str">
        <x:v>Yes</x:v>
      </x:c>
      <x:c r="Q37" s="51" t="str">
        <x:v>Pending</x:v>
      </x:c>
      <x:c r="R37" s="51" t="str">
        <x:v>Candidate for direct citation when article itself is the original reporting.</x:v>
      </x:c>
    </x:row>
    <x:row r="38">
      <x:c r="A38" s="51" t="str">
        <x:v>SRC-034</x:v>
      </x:c>
      <x:c r="B38" s="51" t="str">
        <x:v>Fortune</x:v>
      </x:c>
      <x:c r="C38" s="51" t="str">
        <x:v>fortune.com</x:v>
      </x:c>
      <x:c r="D38" s="51" t="str">
        <x:v>Uploaded list</x:v>
      </x:c>
      <x:c r="E38" s="51" t="str">
        <x:v>Original journalism</x:v>
      </x:c>
      <x:c r="F38" s="51" t="str">
        <x:v>Yes</x:v>
      </x:c>
      <x:c r="G38" s="51" t="str">
        <x:v>Yes</x:v>
      </x:c>
      <x:c r="H38" s="51" t="str">
        <x:v>Original reporting likely</x:v>
      </x:c>
      <x:c r="I38" s="51" t="str">
        <x:v>Metered / free articles may be available</x:v>
      </x:c>
      <x:c r="J38" s="51" t="str"/>
      <x:c r="K38" s="51" t="str"/>
      <x:c r="L38" s="51" t="str">
        <x:v>High</x:v>
      </x:c>
      <x:c r="M38" s="51" t="str">
        <x:v>General / AI</x:v>
      </x:c>
      <x:c r="N38" s="51" t="str">
        <x:v>P1</x:v>
      </x:c>
      <x:c r="O38" s="51" t="str">
        <x:v>Unknown / verify</x:v>
      </x:c>
      <x:c r="P38" s="51" t="str">
        <x:v>Yes</x:v>
      </x:c>
      <x:c r="Q38" s="51" t="str">
        <x:v>Pending</x:v>
      </x:c>
      <x:c r="R38" s="51" t="str">
        <x:v>Candidate for direct citation when article itself is the original reporting.</x:v>
      </x:c>
    </x:row>
    <x:row r="39">
      <x:c r="A39" s="51" t="str">
        <x:v>SRC-035</x:v>
      </x:c>
      <x:c r="B39" s="51" t="str">
        <x:v>Fox News</x:v>
      </x:c>
      <x:c r="C39" s="51" t="str">
        <x:v>foxnews.com</x:v>
      </x:c>
      <x:c r="D39" s="51" t="str">
        <x:v>Uploaded list</x:v>
      </x:c>
      <x:c r="E39" s="51" t="str">
        <x:v>Review / low-signal</x:v>
      </x:c>
      <x:c r="F39" s="51" t="str">
        <x:v>No</x:v>
      </x:c>
      <x:c r="G39" s="51" t="str">
        <x:v>Conditional</x:v>
      </x:c>
      <x:c r="H39" s="51" t="str">
        <x:v>Varies</x:v>
      </x:c>
      <x:c r="I39" s="51" t="str">
        <x:v>Unknown / verify</x:v>
      </x:c>
      <x:c r="J39" s="51" t="str">
        <x:v>Not listed</x:v>
      </x:c>
      <x:c r="K39" s="51" t="str">
        <x:v>Tier 3</x:v>
      </x:c>
      <x:c r="L39" s="51" t="str">
        <x:v>Low</x:v>
      </x:c>
      <x:c r="M39" s="51" t="str">
        <x:v>General / AI</x:v>
      </x:c>
      <x:c r="N39" s="51" t="str">
        <x:v>P3</x:v>
      </x:c>
      <x:c r="O39" s="51" t="str">
        <x:v>Unknown / verify</x:v>
      </x:c>
      <x:c r="P39" s="51" t="str">
        <x:v>No</x:v>
      </x:c>
      <x:c r="Q39" s="51" t="str">
        <x:v>Pending</x:v>
      </x:c>
      <x:c r="R39" s="51" t="str">
        <x:v>Major outlet but its AI/tech vertical is largely syndicated, mixed reliability there | Keep disabled until manually reviewed against current source criteria.</x:v>
      </x:c>
    </x:row>
    <x:row r="40">
      <x:c r="A40" s="51" t="str">
        <x:v>SRC-036</x:v>
      </x:c>
      <x:c r="B40" s="51" t="str">
        <x:v>FTC</x:v>
      </x:c>
      <x:c r="C40" s="51" t="str">
        <x:v>ftc.gov</x:v>
      </x:c>
      <x:c r="D40" s="51" t="str">
        <x:v>Uploaded list</x:v>
      </x:c>
      <x:c r="E40" s="51" t="str">
        <x:v>Primary source</x:v>
      </x:c>
      <x:c r="F40" s="51" t="str">
        <x:v>Yes</x:v>
      </x:c>
      <x:c r="G40" s="51" t="str">
        <x:v>Yes</x:v>
      </x:c>
      <x:c r="H40" s="51" t="str">
        <x:v>Primary/self-report</x:v>
      </x:c>
      <x:c r="I40" s="51" t="str">
        <x:v>Unknown / verify</x:v>
      </x:c>
      <x:c r="J40" s="51" t="str">
        <x:v>Approved</x:v>
      </x:c>
      <x:c r="K40" s="51" t="str">
        <x:v>Tier 1</x:v>
      </x:c>
      <x:c r="L40" s="51" t="str">
        <x:v>High</x:v>
      </x:c>
      <x:c r="M40" s="51" t="str">
        <x:v>Governance</x:v>
      </x:c>
      <x:c r="N40" s="51" t="str">
        <x:v>P1</x:v>
      </x:c>
      <x:c r="O40" s="51" t="str">
        <x:v>Unknown / verify</x:v>
      </x:c>
      <x:c r="P40" s="51" t="str">
        <x:v>Yes</x:v>
      </x:c>
      <x:c r="Q40" s="51" t="str">
        <x:v>Pending</x:v>
      </x:c>
      <x:c r="R40" s="51" t="str">
        <x:v>Primary/government source | Strong candidate for direct monitoring; broader claims may still need corroboration.</x:v>
      </x:c>
    </x:row>
    <x:row r="41">
      <x:c r="A41" s="51" t="str">
        <x:v>SRC-037</x:v>
      </x:c>
      <x:c r="B41" s="51" t="str">
        <x:v>Gartner / Forrester Research</x:v>
      </x:c>
      <x:c r="C41" s="51" t="str"/>
      <x:c r="D41" s="51" t="str">
        <x:v>Uploaded list</x:v>
      </x:c>
      <x:c r="E41" s="51" t="str">
        <x:v>Research / analysis</x:v>
      </x:c>
      <x:c r="F41" s="51" t="str">
        <x:v>Yes</x:v>
      </x:c>
      <x:c r="G41" s="51" t="str">
        <x:v>Conditional</x:v>
      </x:c>
      <x:c r="H41" s="51" t="str">
        <x:v>Analysis/research</x:v>
      </x:c>
      <x:c r="I41" s="51" t="str">
        <x:v>Unknown / verify</x:v>
      </x:c>
      <x:c r="J41" s="51" t="str"/>
      <x:c r="K41" s="51" t="str"/>
      <x:c r="L41" s="51" t="str">
        <x:v>Medium</x:v>
      </x:c>
      <x:c r="M41" s="51" t="str">
        <x:v>General / AI</x:v>
      </x:c>
      <x:c r="N41" s="51" t="str">
        <x:v>P2</x:v>
      </x:c>
      <x:c r="O41" s="51" t="str">
        <x:v>Unknown / verify</x:v>
      </x:c>
      <x:c r="P41" s="51" t="str">
        <x:v>Yes</x:v>
      </x:c>
      <x:c r="Q41" s="51" t="str">
        <x:v>Pending</x:v>
      </x:c>
      <x:c r="R41" s="51" t="str">
        <x:v>Useful for research/context; citation depends on item type and relevance.</x:v>
      </x:c>
    </x:row>
    <x:row r="42">
      <x:c r="A42" s="51" t="str">
        <x:v>SRC-038</x:v>
      </x:c>
      <x:c r="B42" s="51" t="str">
        <x:v>Google AI Blog</x:v>
      </x:c>
      <x:c r="C42" s="51" t="str">
        <x:v>blog.google</x:v>
      </x:c>
      <x:c r="D42" s="51" t="str">
        <x:v>Uploaded list</x:v>
      </x:c>
      <x:c r="E42" s="51" t="str">
        <x:v>Primary source</x:v>
      </x:c>
      <x:c r="F42" s="51" t="str">
        <x:v>Yes</x:v>
      </x:c>
      <x:c r="G42" s="51" t="str">
        <x:v>Yes</x:v>
      </x:c>
      <x:c r="H42" s="51" t="str">
        <x:v>Primary/self-report</x:v>
      </x:c>
      <x:c r="I42" s="51" t="str">
        <x:v>Unknown / verify</x:v>
      </x:c>
      <x:c r="J42" s="51" t="str"/>
      <x:c r="K42" s="51" t="str"/>
      <x:c r="L42" s="51" t="str">
        <x:v>High</x:v>
      </x:c>
      <x:c r="M42" s="51" t="str">
        <x:v>General / AI</x:v>
      </x:c>
      <x:c r="N42" s="51" t="str">
        <x:v>P1</x:v>
      </x:c>
      <x:c r="O42" s="51" t="str">
        <x:v>Unknown / verify</x:v>
      </x:c>
      <x:c r="P42" s="51" t="str">
        <x:v>Yes</x:v>
      </x:c>
      <x:c r="Q42" s="51" t="str">
        <x:v>Pending</x:v>
      </x:c>
      <x:c r="R42" s="51" t="str">
        <x:v>Strong candidate for direct monitoring; broader claims may still need corroboration.</x:v>
      </x:c>
    </x:row>
    <x:row r="43">
      <x:c r="A43" s="51" t="str">
        <x:v>SRC-039</x:v>
      </x:c>
      <x:c r="B43" s="51" t="str">
        <x:v>Google DeepMind</x:v>
      </x:c>
      <x:c r="C43" s="51" t="str">
        <x:v>deepmind.google</x:v>
      </x:c>
      <x:c r="D43" s="51" t="str">
        <x:v>Uploaded list</x:v>
      </x:c>
      <x:c r="E43" s="51" t="str">
        <x:v>Primary source</x:v>
      </x:c>
      <x:c r="F43" s="51" t="str">
        <x:v>Yes</x:v>
      </x:c>
      <x:c r="G43" s="51" t="str">
        <x:v>Yes</x:v>
      </x:c>
      <x:c r="H43" s="51" t="str">
        <x:v>Primary/self-report</x:v>
      </x:c>
      <x:c r="I43" s="51" t="str">
        <x:v>Unknown / verify</x:v>
      </x:c>
      <x:c r="J43" s="51" t="str"/>
      <x:c r="K43" s="51" t="str"/>
      <x:c r="L43" s="51" t="str">
        <x:v>High</x:v>
      </x:c>
      <x:c r="M43" s="51" t="str">
        <x:v>Models / Research</x:v>
      </x:c>
      <x:c r="N43" s="51" t="str">
        <x:v>P1</x:v>
      </x:c>
      <x:c r="O43" s="51" t="str">
        <x:v>Unknown / verify</x:v>
      </x:c>
      <x:c r="P43" s="51" t="str">
        <x:v>Yes</x:v>
      </x:c>
      <x:c r="Q43" s="51" t="str">
        <x:v>Pending</x:v>
      </x:c>
      <x:c r="R43" s="51" t="str">
        <x:v>Strong candidate for direct monitoring; broader claims may still need corroboration.</x:v>
      </x:c>
    </x:row>
    <x:row r="44">
      <x:c r="A44" s="51" t="str">
        <x:v>SRC-040</x:v>
      </x:c>
      <x:c r="B44" s="51" t="str">
        <x:v>Hard2Bit</x:v>
      </x:c>
      <x:c r="C44" s="51" t="str">
        <x:v>hard2bit.com</x:v>
      </x:c>
      <x:c r="D44" s="51" t="str">
        <x:v>Uploaded list</x:v>
      </x:c>
      <x:c r="E44" s="51" t="str">
        <x:v>Review / low-signal</x:v>
      </x:c>
      <x:c r="F44" s="51" t="str">
        <x:v>No</x:v>
      </x:c>
      <x:c r="G44" s="51" t="str">
        <x:v>Conditional</x:v>
      </x:c>
      <x:c r="H44" s="51" t="str">
        <x:v>Varies</x:v>
      </x:c>
      <x:c r="I44" s="51" t="str">
        <x:v>Unknown / verify</x:v>
      </x:c>
      <x:c r="J44" s="51" t="str">
        <x:v>Not listed</x:v>
      </x:c>
      <x:c r="K44" s="51" t="str">
        <x:v>Tier 3</x:v>
      </x:c>
      <x:c r="L44" s="51" t="str">
        <x:v>Low</x:v>
      </x:c>
      <x:c r="M44" s="51" t="str">
        <x:v>General / AI</x:v>
      </x:c>
      <x:c r="N44" s="51" t="str">
        <x:v>P3</x:v>
      </x:c>
      <x:c r="O44" s="51" t="str">
        <x:v>Unknown / verify</x:v>
      </x:c>
      <x:c r="P44" s="51" t="str">
        <x:v>No</x:v>
      </x:c>
      <x:c r="Q44" s="51" t="str">
        <x:v>Pending</x:v>
      </x:c>
      <x:c r="R44" s="51" t="str">
        <x:v>Small independent blog, hard to vet | Keep disabled until manually reviewed against current source criteria.</x:v>
      </x:c>
    </x:row>
    <x:row r="45">
      <x:c r="A45" s="51" t="str">
        <x:v>SRC-041</x:v>
      </x:c>
      <x:c r="B45" s="51" t="str">
        <x:v>Harvard Business Review</x:v>
      </x:c>
      <x:c r="C45" s="51" t="str">
        <x:v>hbr.org</x:v>
      </x:c>
      <x:c r="D45" s="51" t="str">
        <x:v>Uploaded list</x:v>
      </x:c>
      <x:c r="E45" s="51" t="str">
        <x:v>Research / analysis</x:v>
      </x:c>
      <x:c r="F45" s="51" t="str">
        <x:v>Yes</x:v>
      </x:c>
      <x:c r="G45" s="51" t="str">
        <x:v>Conditional</x:v>
      </x:c>
      <x:c r="H45" s="51" t="str">
        <x:v>Analysis/research</x:v>
      </x:c>
      <x:c r="I45" s="51" t="str">
        <x:v>Paywalled / variable</x:v>
      </x:c>
      <x:c r="J45" s="51" t="str"/>
      <x:c r="K45" s="51" t="str"/>
      <x:c r="L45" s="51" t="str">
        <x:v>Medium</x:v>
      </x:c>
      <x:c r="M45" s="51" t="str">
        <x:v>General / AI</x:v>
      </x:c>
      <x:c r="N45" s="51" t="str">
        <x:v>P2</x:v>
      </x:c>
      <x:c r="O45" s="51" t="str">
        <x:v>Unknown / verify</x:v>
      </x:c>
      <x:c r="P45" s="51" t="str">
        <x:v>Yes</x:v>
      </x:c>
      <x:c r="Q45" s="51" t="str">
        <x:v>Pending</x:v>
      </x:c>
      <x:c r="R45" s="51" t="str">
        <x:v>Useful for research/context; citation depends on item type and relevance.</x:v>
      </x:c>
    </x:row>
    <x:row r="46">
      <x:c r="A46" s="51" t="str">
        <x:v>SRC-042</x:v>
      </x:c>
      <x:c r="B46" s="51" t="str">
        <x:v>HIPTHER</x:v>
      </x:c>
      <x:c r="C46" s="51" t="str">
        <x:v>hipther.com</x:v>
      </x:c>
      <x:c r="D46" s="51" t="str">
        <x:v>Uploaded list</x:v>
      </x:c>
      <x:c r="E46" s="51" t="str">
        <x:v>Exclude / background</x:v>
      </x:c>
      <x:c r="F46" s="51" t="str">
        <x:v>No</x:v>
      </x:c>
      <x:c r="G46" s="51" t="str">
        <x:v>No</x:v>
      </x:c>
      <x:c r="H46" s="51" t="str">
        <x:v>Background/aggregation</x:v>
      </x:c>
      <x:c r="I46" s="51" t="str">
        <x:v>Unknown / verify</x:v>
      </x:c>
      <x:c r="J46" s="51" t="str">
        <x:v>Not listed</x:v>
      </x:c>
      <x:c r="K46" s="51" t="str">
        <x:v>Tier 3</x:v>
      </x:c>
      <x:c r="L46" s="51" t="str">
        <x:v>High</x:v>
      </x:c>
      <x:c r="M46" s="51" t="str">
        <x:v>General / AI</x:v>
      </x:c>
      <x:c r="N46" s="51" t="str">
        <x:v>P3</x:v>
      </x:c>
      <x:c r="O46" s="51" t="str">
        <x:v>Unknown / verify</x:v>
      </x:c>
      <x:c r="P46" s="51" t="str">
        <x:v>No</x:v>
      </x:c>
      <x:c r="Q46" s="51" t="str">
        <x:v>Pending</x:v>
      </x:c>
      <x:c r="R46" s="51" t="str">
        <x:v>Wire/dispatch aggregator, low editorial independence | Do not use as final news citation; retain only for background or lead discovery if later enabled.</x:v>
      </x:c>
    </x:row>
    <x:row r="47">
      <x:c r="A47" s="51" t="str">
        <x:v>SRC-043</x:v>
      </x:c>
      <x:c r="B47" s="51" t="str">
        <x:v>IEEE Spectrum</x:v>
      </x:c>
      <x:c r="C47" s="51" t="str">
        <x:v>spectrum.ieee.org</x:v>
      </x:c>
      <x:c r="D47" s="51" t="str">
        <x:v>Uploaded list</x:v>
      </x:c>
      <x:c r="E47" s="51" t="str">
        <x:v>Research / analysis</x:v>
      </x:c>
      <x:c r="F47" s="51" t="str">
        <x:v>Yes</x:v>
      </x:c>
      <x:c r="G47" s="51" t="str">
        <x:v>Conditional</x:v>
      </x:c>
      <x:c r="H47" s="51" t="str">
        <x:v>Analysis/research</x:v>
      </x:c>
      <x:c r="I47" s="51" t="str">
        <x:v>Unknown / verify</x:v>
      </x:c>
      <x:c r="J47" s="51" t="str"/>
      <x:c r="K47" s="51" t="str"/>
      <x:c r="L47" s="51" t="str">
        <x:v>Medium</x:v>
      </x:c>
      <x:c r="M47" s="51" t="str">
        <x:v>General / AI</x:v>
      </x:c>
      <x:c r="N47" s="51" t="str">
        <x:v>P2</x:v>
      </x:c>
      <x:c r="O47" s="51" t="str">
        <x:v>Unknown / verify</x:v>
      </x:c>
      <x:c r="P47" s="51" t="str">
        <x:v>Yes</x:v>
      </x:c>
      <x:c r="Q47" s="51" t="str">
        <x:v>Pending</x:v>
      </x:c>
      <x:c r="R47" s="51" t="str">
        <x:v>Useful for research/context; citation depends on item type and relevance.</x:v>
      </x:c>
    </x:row>
    <x:row r="48">
      <x:c r="A48" s="51" t="str">
        <x:v>SRC-044</x:v>
      </x:c>
      <x:c r="B48" s="51" t="str">
        <x:v>Import AI (Jack Clark)</x:v>
      </x:c>
      <x:c r="C48" s="51" t="str"/>
      <x:c r="D48" s="51" t="str">
        <x:v>Uploaded list</x:v>
      </x:c>
      <x:c r="E48" s="51" t="str">
        <x:v>Research / analysis</x:v>
      </x:c>
      <x:c r="F48" s="51" t="str">
        <x:v>Yes</x:v>
      </x:c>
      <x:c r="G48" s="51" t="str">
        <x:v>Conditional</x:v>
      </x:c>
      <x:c r="H48" s="51" t="str">
        <x:v>Analysis/research</x:v>
      </x:c>
      <x:c r="I48" s="51" t="str">
        <x:v>Unknown / verify</x:v>
      </x:c>
      <x:c r="J48" s="51" t="str"/>
      <x:c r="K48" s="51" t="str"/>
      <x:c r="L48" s="51" t="str">
        <x:v>Medium</x:v>
      </x:c>
      <x:c r="M48" s="51" t="str">
        <x:v>General / AI</x:v>
      </x:c>
      <x:c r="N48" s="51" t="str">
        <x:v>P2</x:v>
      </x:c>
      <x:c r="O48" s="51" t="str">
        <x:v>Unknown / verify</x:v>
      </x:c>
      <x:c r="P48" s="51" t="str">
        <x:v>Yes</x:v>
      </x:c>
      <x:c r="Q48" s="51" t="str">
        <x:v>Pending</x:v>
      </x:c>
      <x:c r="R48" s="51" t="str">
        <x:v>Useful for research/context; citation depends on item type and relevance.</x:v>
      </x:c>
    </x:row>
    <x:row r="49">
      <x:c r="A49" s="51" t="str">
        <x:v>SRC-045</x:v>
      </x:c>
      <x:c r="B49" s="51" t="str">
        <x:v>Infosecurity Magazine</x:v>
      </x:c>
      <x:c r="C49" s="51" t="str">
        <x:v>infosecurity-magazine.com</x:v>
      </x:c>
      <x:c r="D49" s="51" t="str">
        <x:v>Uploaded list</x:v>
      </x:c>
      <x:c r="E49" s="51" t="str">
        <x:v>Original journalism</x:v>
      </x:c>
      <x:c r="F49" s="51" t="str">
        <x:v>Yes</x:v>
      </x:c>
      <x:c r="G49" s="51" t="str">
        <x:v>Yes</x:v>
      </x:c>
      <x:c r="H49" s="51" t="str">
        <x:v>Original reporting likely</x:v>
      </x:c>
      <x:c r="I49" s="51" t="str">
        <x:v>Unknown / verify</x:v>
      </x:c>
      <x:c r="J49" s="51" t="str">
        <x:v>Not listed</x:v>
      </x:c>
      <x:c r="K49" s="51" t="str">
        <x:v>Tier 2</x:v>
      </x:c>
      <x:c r="L49" s="51" t="str">
        <x:v>High</x:v>
      </x:c>
      <x:c r="M49" s="51" t="str">
        <x:v>Security</x:v>
      </x:c>
      <x:c r="N49" s="51" t="str">
        <x:v>P1</x:v>
      </x:c>
      <x:c r="O49" s="51" t="str">
        <x:v>Unknown / verify</x:v>
      </x:c>
      <x:c r="P49" s="51" t="str">
        <x:v>Yes</x:v>
      </x:c>
      <x:c r="Q49" s="51" t="str">
        <x:v>Pending</x:v>
      </x:c>
      <x:c r="R49" s="51" t="str">
        <x:v>Established security trade publication | Candidate for direct citation when article itself is the original reporting.</x:v>
      </x:c>
    </x:row>
    <x:row r="50">
      <x:c r="A50" s="51" t="str">
        <x:v>SRC-046</x:v>
      </x:c>
      <x:c r="B50" s="51" t="str">
        <x:v>Introl</x:v>
      </x:c>
      <x:c r="C50" s="51" t="str">
        <x:v>introl.com</x:v>
      </x:c>
      <x:c r="D50" s="51" t="str">
        <x:v>Uploaded list</x:v>
      </x:c>
      <x:c r="E50" s="51" t="str">
        <x:v>Vendor / self-report</x:v>
      </x:c>
      <x:c r="F50" s="51" t="str">
        <x:v>Yes</x:v>
      </x:c>
      <x:c r="G50" s="51" t="str">
        <x:v>Conditional</x:v>
      </x:c>
      <x:c r="H50" s="51" t="str">
        <x:v>Self-report</x:v>
      </x:c>
      <x:c r="I50" s="51" t="str">
        <x:v>Unknown / verify</x:v>
      </x:c>
      <x:c r="J50" s="51" t="str"/>
      <x:c r="K50" s="51" t="str"/>
      <x:c r="L50" s="51" t="str">
        <x:v>Medium</x:v>
      </x:c>
      <x:c r="M50" s="51" t="str">
        <x:v>General / AI</x:v>
      </x:c>
      <x:c r="N50" s="51" t="str">
        <x:v>P2</x:v>
      </x:c>
      <x:c r="O50" s="51" t="str">
        <x:v>Unknown / verify</x:v>
      </x:c>
      <x:c r="P50" s="51" t="str">
        <x:v>Yes</x:v>
      </x:c>
      <x:c r="Q50" s="51" t="str">
        <x:v>Pending</x:v>
      </x:c>
      <x:c r="R50" s="51" t="str">
        <x:v>Eligible for own research/announcement; corroborate broader claims when practical.</x:v>
      </x:c>
    </x:row>
    <x:row r="51">
      <x:c r="A51" s="51" t="str">
        <x:v>SRC-047</x:v>
      </x:c>
      <x:c r="B51" s="51" t="str">
        <x:v>IT Pro</x:v>
      </x:c>
      <x:c r="C51" s="51" t="str">
        <x:v>itpro.com</x:v>
      </x:c>
      <x:c r="D51" s="51" t="str">
        <x:v>Uploaded list</x:v>
      </x:c>
      <x:c r="E51" s="51" t="str">
        <x:v>Original journalism</x:v>
      </x:c>
      <x:c r="F51" s="51" t="str">
        <x:v>Yes</x:v>
      </x:c>
      <x:c r="G51" s="51" t="str">
        <x:v>Yes</x:v>
      </x:c>
      <x:c r="H51" s="51" t="str">
        <x:v>Original reporting likely</x:v>
      </x:c>
      <x:c r="I51" s="51" t="str">
        <x:v>Unknown / verify</x:v>
      </x:c>
      <x:c r="J51" s="51" t="str"/>
      <x:c r="K51" s="51" t="str"/>
      <x:c r="L51" s="51" t="str">
        <x:v>High</x:v>
      </x:c>
      <x:c r="M51" s="51" t="str">
        <x:v>General / AI</x:v>
      </x:c>
      <x:c r="N51" s="51" t="str">
        <x:v>P1</x:v>
      </x:c>
      <x:c r="O51" s="51" t="str">
        <x:v>Unknown / verify</x:v>
      </x:c>
      <x:c r="P51" s="51" t="str">
        <x:v>Yes</x:v>
      </x:c>
      <x:c r="Q51" s="51" t="str">
        <x:v>Pending</x:v>
      </x:c>
      <x:c r="R51" s="51" t="str">
        <x:v>Candidate for direct citation when article itself is the original reporting.</x:v>
      </x:c>
    </x:row>
    <x:row r="52">
      <x:c r="A52" s="51" t="str">
        <x:v>SRC-048</x:v>
      </x:c>
      <x:c r="B52" s="51" t="str">
        <x:v>MacRumors</x:v>
      </x:c>
      <x:c r="C52" s="51" t="str">
        <x:v>macrumors.com</x:v>
      </x:c>
      <x:c r="D52" s="51" t="str">
        <x:v>Uploaded list</x:v>
      </x:c>
      <x:c r="E52" s="51" t="str">
        <x:v>Original journalism</x:v>
      </x:c>
      <x:c r="F52" s="51" t="str">
        <x:v>Yes</x:v>
      </x:c>
      <x:c r="G52" s="51" t="str">
        <x:v>Yes</x:v>
      </x:c>
      <x:c r="H52" s="51" t="str">
        <x:v>Original reporting likely</x:v>
      </x:c>
      <x:c r="I52" s="51" t="str">
        <x:v>Unknown / verify</x:v>
      </x:c>
      <x:c r="J52" s="51" t="str"/>
      <x:c r="K52" s="51" t="str"/>
      <x:c r="L52" s="51" t="str">
        <x:v>High</x:v>
      </x:c>
      <x:c r="M52" s="51" t="str">
        <x:v>General / AI</x:v>
      </x:c>
      <x:c r="N52" s="51" t="str">
        <x:v>P1</x:v>
      </x:c>
      <x:c r="O52" s="51" t="str">
        <x:v>Unknown / verify</x:v>
      </x:c>
      <x:c r="P52" s="51" t="str">
        <x:v>Yes</x:v>
      </x:c>
      <x:c r="Q52" s="51" t="str">
        <x:v>Pending</x:v>
      </x:c>
      <x:c r="R52" s="51" t="str">
        <x:v>Candidate for direct citation when article itself is the original reporting.</x:v>
      </x:c>
    </x:row>
    <x:row r="53">
      <x:c r="A53" s="51" t="str">
        <x:v>SRC-049</x:v>
      </x:c>
      <x:c r="B53" s="51" t="str">
        <x:v>Marketing AI Institute</x:v>
      </x:c>
      <x:c r="C53" s="51" t="str">
        <x:v>marketingaiinstitute.com</x:v>
      </x:c>
      <x:c r="D53" s="51" t="str">
        <x:v>Uploaded list</x:v>
      </x:c>
      <x:c r="E53" s="51" t="str">
        <x:v>Research / analysis</x:v>
      </x:c>
      <x:c r="F53" s="51" t="str">
        <x:v>Yes</x:v>
      </x:c>
      <x:c r="G53" s="51" t="str">
        <x:v>Conditional</x:v>
      </x:c>
      <x:c r="H53" s="51" t="str">
        <x:v>Analysis/research</x:v>
      </x:c>
      <x:c r="I53" s="51" t="str">
        <x:v>Unknown / verify</x:v>
      </x:c>
      <x:c r="J53" s="51" t="str"/>
      <x:c r="K53" s="51" t="str"/>
      <x:c r="L53" s="51" t="str">
        <x:v>Medium</x:v>
      </x:c>
      <x:c r="M53" s="51" t="str">
        <x:v>General / AI</x:v>
      </x:c>
      <x:c r="N53" s="51" t="str">
        <x:v>P2</x:v>
      </x:c>
      <x:c r="O53" s="51" t="str">
        <x:v>Unknown / verify</x:v>
      </x:c>
      <x:c r="P53" s="51" t="str">
        <x:v>Yes</x:v>
      </x:c>
      <x:c r="Q53" s="51" t="str">
        <x:v>Pending</x:v>
      </x:c>
      <x:c r="R53" s="51" t="str">
        <x:v>Useful for research/context; citation depends on item type and relevance.</x:v>
      </x:c>
    </x:row>
    <x:row r="54">
      <x:c r="A54" s="51" t="str">
        <x:v>SRC-050</x:v>
      </x:c>
      <x:c r="B54" s="51" t="str">
        <x:v>MarkTechPost</x:v>
      </x:c>
      <x:c r="C54" s="51" t="str">
        <x:v>marktechpost.com</x:v>
      </x:c>
      <x:c r="D54" s="51" t="str">
        <x:v>Uploaded list</x:v>
      </x:c>
      <x:c r="E54" s="51" t="str">
        <x:v>Discovery-only</x:v>
      </x:c>
      <x:c r="F54" s="51" t="str">
        <x:v>Yes</x:v>
      </x:c>
      <x:c r="G54" s="51" t="str">
        <x:v>No</x:v>
      </x:c>
      <x:c r="H54" s="51" t="str">
        <x:v>Lead generation</x:v>
      </x:c>
      <x:c r="I54" s="51" t="str">
        <x:v>Unknown / verify</x:v>
      </x:c>
      <x:c r="J54" s="51" t="str"/>
      <x:c r="K54" s="51" t="str"/>
      <x:c r="L54" s="51" t="str">
        <x:v>High</x:v>
      </x:c>
      <x:c r="M54" s="51" t="str">
        <x:v>General / AI</x:v>
      </x:c>
      <x:c r="N54" s="51" t="str">
        <x:v>P1</x:v>
      </x:c>
      <x:c r="O54" s="51" t="str">
        <x:v>Unknown / verify</x:v>
      </x:c>
      <x:c r="P54" s="51" t="str">
        <x:v>Yes</x:v>
      </x:c>
      <x:c r="Q54" s="51" t="str">
        <x:v>Pending</x:v>
      </x:c>
      <x:c r="R54" s="51" t="str">
        <x:v>Use to discover leads; resolve to primary source/original reporting before review.</x:v>
      </x:c>
    </x:row>
    <x:row r="55">
      <x:c r="A55" s="51" t="str">
        <x:v>SRC-051</x:v>
      </x:c>
      <x:c r="B55" s="51" t="str">
        <x:v>McKinsey QuantumBlack</x:v>
      </x:c>
      <x:c r="C55" s="51" t="str">
        <x:v>mckinsey.com</x:v>
      </x:c>
      <x:c r="D55" s="51" t="str">
        <x:v>Uploaded list</x:v>
      </x:c>
      <x:c r="E55" s="51" t="str">
        <x:v>Research / analysis</x:v>
      </x:c>
      <x:c r="F55" s="51" t="str">
        <x:v>Yes</x:v>
      </x:c>
      <x:c r="G55" s="51" t="str">
        <x:v>Conditional</x:v>
      </x:c>
      <x:c r="H55" s="51" t="str">
        <x:v>Analysis/research</x:v>
      </x:c>
      <x:c r="I55" s="51" t="str">
        <x:v>Unknown / verify</x:v>
      </x:c>
      <x:c r="J55" s="51" t="str"/>
      <x:c r="K55" s="51" t="str"/>
      <x:c r="L55" s="51" t="str">
        <x:v>Medium</x:v>
      </x:c>
      <x:c r="M55" s="51" t="str">
        <x:v>General / AI</x:v>
      </x:c>
      <x:c r="N55" s="51" t="str">
        <x:v>P2</x:v>
      </x:c>
      <x:c r="O55" s="51" t="str">
        <x:v>Unknown / verify</x:v>
      </x:c>
      <x:c r="P55" s="51" t="str">
        <x:v>Yes</x:v>
      </x:c>
      <x:c r="Q55" s="51" t="str">
        <x:v>Pending</x:v>
      </x:c>
      <x:c r="R55" s="51" t="str">
        <x:v>Useful for research/context; citation depends on item type and relevance.</x:v>
      </x:c>
    </x:row>
    <x:row r="56">
      <x:c r="A56" s="51" t="str">
        <x:v>SRC-052</x:v>
      </x:c>
      <x:c r="B56" s="51" t="str">
        <x:v>Memeburn</x:v>
      </x:c>
      <x:c r="C56" s="51" t="str">
        <x:v>memeburn.com</x:v>
      </x:c>
      <x:c r="D56" s="51" t="str">
        <x:v>Uploaded list</x:v>
      </x:c>
      <x:c r="E56" s="51" t="str">
        <x:v>Specialist trade / regional</x:v>
      </x:c>
      <x:c r="F56" s="51" t="str">
        <x:v>Yes</x:v>
      </x:c>
      <x:c r="G56" s="51" t="str">
        <x:v>Conditional</x:v>
      </x:c>
      <x:c r="H56" s="51" t="str">
        <x:v>Original reporting varies</x:v>
      </x:c>
      <x:c r="I56" s="51" t="str">
        <x:v>Unknown / verify</x:v>
      </x:c>
      <x:c r="J56" s="51" t="str"/>
      <x:c r="K56" s="51" t="str"/>
      <x:c r="L56" s="51" t="str">
        <x:v>Medium</x:v>
      </x:c>
      <x:c r="M56" s="51" t="str">
        <x:v>General / AI</x:v>
      </x:c>
      <x:c r="N56" s="51" t="str">
        <x:v>P2</x:v>
      </x:c>
      <x:c r="O56" s="51" t="str">
        <x:v>Unknown / verify</x:v>
      </x:c>
      <x:c r="P56" s="51" t="str">
        <x:v>Yes</x:v>
      </x:c>
      <x:c r="Q56" s="51" t="str">
        <x:v>Pending</x:v>
      </x:c>
      <x:c r="R56" s="51" t="str">
        <x:v>Use article-level judgment; verify whether reporting is original or syndicated.</x:v>
      </x:c>
    </x:row>
    <x:row r="57">
      <x:c r="A57" s="51" t="str">
        <x:v>SRC-053</x:v>
      </x:c>
      <x:c r="B57" s="51" t="str">
        <x:v>Meta AI</x:v>
      </x:c>
      <x:c r="C57" s="51" t="str">
        <x:v>ai.meta.com</x:v>
      </x:c>
      <x:c r="D57" s="51" t="str">
        <x:v>Uploaded list</x:v>
      </x:c>
      <x:c r="E57" s="51" t="str">
        <x:v>Primary source</x:v>
      </x:c>
      <x:c r="F57" s="51" t="str">
        <x:v>Yes</x:v>
      </x:c>
      <x:c r="G57" s="51" t="str">
        <x:v>Yes</x:v>
      </x:c>
      <x:c r="H57" s="51" t="str">
        <x:v>Primary/self-report</x:v>
      </x:c>
      <x:c r="I57" s="51" t="str">
        <x:v>Unknown / verify</x:v>
      </x:c>
      <x:c r="J57" s="51" t="str"/>
      <x:c r="K57" s="51" t="str"/>
      <x:c r="L57" s="51" t="str">
        <x:v>High</x:v>
      </x:c>
      <x:c r="M57" s="51" t="str">
        <x:v>Models / Research</x:v>
      </x:c>
      <x:c r="N57" s="51" t="str">
        <x:v>P1</x:v>
      </x:c>
      <x:c r="O57" s="51" t="str">
        <x:v>Unknown / verify</x:v>
      </x:c>
      <x:c r="P57" s="51" t="str">
        <x:v>Yes</x:v>
      </x:c>
      <x:c r="Q57" s="51" t="str">
        <x:v>Pending</x:v>
      </x:c>
      <x:c r="R57" s="51" t="str">
        <x:v>Strong candidate for direct monitoring; broader claims may still need corroboration.</x:v>
      </x:c>
    </x:row>
    <x:row r="58">
      <x:c r="A58" s="51" t="str">
        <x:v>SRC-054</x:v>
      </x:c>
      <x:c r="B58" s="51" t="str">
        <x:v>Microsoft Blogs</x:v>
      </x:c>
      <x:c r="C58" s="51" t="str">
        <x:v>blogs.microsoft.com</x:v>
      </x:c>
      <x:c r="D58" s="51" t="str">
        <x:v>Uploaded list</x:v>
      </x:c>
      <x:c r="E58" s="51" t="str">
        <x:v>Primary source</x:v>
      </x:c>
      <x:c r="F58" s="51" t="str">
        <x:v>Yes</x:v>
      </x:c>
      <x:c r="G58" s="51" t="str">
        <x:v>Yes</x:v>
      </x:c>
      <x:c r="H58" s="51" t="str">
        <x:v>Primary/self-report</x:v>
      </x:c>
      <x:c r="I58" s="51" t="str">
        <x:v>Unknown / verify</x:v>
      </x:c>
      <x:c r="J58" s="51" t="str"/>
      <x:c r="K58" s="51" t="str"/>
      <x:c r="L58" s="51" t="str">
        <x:v>High</x:v>
      </x:c>
      <x:c r="M58" s="51" t="str">
        <x:v>Business / Models</x:v>
      </x:c>
      <x:c r="N58" s="51" t="str">
        <x:v>P1</x:v>
      </x:c>
      <x:c r="O58" s="51" t="str">
        <x:v>Unknown / verify</x:v>
      </x:c>
      <x:c r="P58" s="51" t="str">
        <x:v>Yes</x:v>
      </x:c>
      <x:c r="Q58" s="51" t="str">
        <x:v>Pending</x:v>
      </x:c>
      <x:c r="R58" s="51" t="str">
        <x:v>Strong candidate for direct monitoring; broader claims may still need corroboration.</x:v>
      </x:c>
    </x:row>
    <x:row r="59">
      <x:c r="A59" s="51" t="str">
        <x:v>SRC-055</x:v>
      </x:c>
      <x:c r="B59" s="51" t="str">
        <x:v>Microsoft Research</x:v>
      </x:c>
      <x:c r="C59" s="51" t="str">
        <x:v>microsoft.com</x:v>
      </x:c>
      <x:c r="D59" s="51" t="str">
        <x:v>Uploaded list</x:v>
      </x:c>
      <x:c r="E59" s="51" t="str">
        <x:v>Primary source</x:v>
      </x:c>
      <x:c r="F59" s="51" t="str">
        <x:v>Yes</x:v>
      </x:c>
      <x:c r="G59" s="51" t="str">
        <x:v>Yes</x:v>
      </x:c>
      <x:c r="H59" s="51" t="str">
        <x:v>Primary/self-report</x:v>
      </x:c>
      <x:c r="I59" s="51" t="str">
        <x:v>Unknown / verify</x:v>
      </x:c>
      <x:c r="J59" s="51" t="str"/>
      <x:c r="K59" s="51" t="str"/>
      <x:c r="L59" s="51" t="str">
        <x:v>High</x:v>
      </x:c>
      <x:c r="M59" s="51" t="str">
        <x:v>Research</x:v>
      </x:c>
      <x:c r="N59" s="51" t="str">
        <x:v>P1</x:v>
      </x:c>
      <x:c r="O59" s="51" t="str">
        <x:v>Unknown / verify</x:v>
      </x:c>
      <x:c r="P59" s="51" t="str">
        <x:v>Yes</x:v>
      </x:c>
      <x:c r="Q59" s="51" t="str">
        <x:v>Pending</x:v>
      </x:c>
      <x:c r="R59" s="51" t="str">
        <x:v>Strong candidate for direct monitoring; broader claims may still need corroboration.</x:v>
      </x:c>
    </x:row>
    <x:row r="60">
      <x:c r="A60" s="51" t="str">
        <x:v>SRC-056</x:v>
      </x:c>
      <x:c r="B60" s="51" t="str">
        <x:v>Mishcon de Reya</x:v>
      </x:c>
      <x:c r="C60" s="51" t="str">
        <x:v>mishcon.com</x:v>
      </x:c>
      <x:c r="D60" s="51" t="str">
        <x:v>Uploaded list</x:v>
      </x:c>
      <x:c r="E60" s="51" t="str">
        <x:v>Vendor / self-report</x:v>
      </x:c>
      <x:c r="F60" s="51" t="str">
        <x:v>Yes</x:v>
      </x:c>
      <x:c r="G60" s="51" t="str">
        <x:v>Conditional</x:v>
      </x:c>
      <x:c r="H60" s="51" t="str">
        <x:v>Self-report</x:v>
      </x:c>
      <x:c r="I60" s="51" t="str">
        <x:v>Unknown / verify</x:v>
      </x:c>
      <x:c r="J60" s="51" t="str">
        <x:v>Not listed</x:v>
      </x:c>
      <x:c r="K60" s="51" t="str">
        <x:v>Tier 3</x:v>
      </x:c>
      <x:c r="L60" s="51" t="str">
        <x:v>Medium</x:v>
      </x:c>
      <x:c r="M60" s="51" t="str">
        <x:v>General / AI</x:v>
      </x:c>
      <x:c r="N60" s="51" t="str">
        <x:v>P2</x:v>
      </x:c>
      <x:c r="O60" s="51" t="str">
        <x:v>Unknown / verify</x:v>
      </x:c>
      <x:c r="P60" s="51" t="str">
        <x:v>Yes</x:v>
      </x:c>
      <x:c r="Q60" s="51" t="str">
        <x:v>Pending</x:v>
      </x:c>
      <x:c r="R60" s="51" t="str">
        <x:v>Law firm marketing content, not journalism | Eligible for own research/announcement; corroborate broader claims when practical.</x:v>
      </x:c>
    </x:row>
    <x:row r="61">
      <x:c r="A61" s="51" t="str">
        <x:v>SRC-057</x:v>
      </x:c>
      <x:c r="B61" s="51" t="str">
        <x:v>MIT Technology Review</x:v>
      </x:c>
      <x:c r="C61" s="51" t="str">
        <x:v>technologyreview.com</x:v>
      </x:c>
      <x:c r="D61" s="51" t="str">
        <x:v>Uploaded list</x:v>
      </x:c>
      <x:c r="E61" s="51" t="str">
        <x:v>Original journalism</x:v>
      </x:c>
      <x:c r="F61" s="51" t="str">
        <x:v>Yes</x:v>
      </x:c>
      <x:c r="G61" s="51" t="str">
        <x:v>Yes</x:v>
      </x:c>
      <x:c r="H61" s="51" t="str">
        <x:v>Original reporting likely</x:v>
      </x:c>
      <x:c r="I61" s="51" t="str">
        <x:v>Unknown / verify</x:v>
      </x:c>
      <x:c r="J61" s="51" t="str"/>
      <x:c r="K61" s="51" t="str"/>
      <x:c r="L61" s="51" t="str">
        <x:v>High</x:v>
      </x:c>
      <x:c r="M61" s="51" t="str">
        <x:v>General / AI</x:v>
      </x:c>
      <x:c r="N61" s="51" t="str">
        <x:v>P1</x:v>
      </x:c>
      <x:c r="O61" s="51" t="str">
        <x:v>Unknown / verify</x:v>
      </x:c>
      <x:c r="P61" s="51" t="str">
        <x:v>Yes</x:v>
      </x:c>
      <x:c r="Q61" s="51" t="str">
        <x:v>Pending</x:v>
      </x:c>
      <x:c r="R61" s="51" t="str">
        <x:v>Candidate for direct citation when article itself is the original reporting.</x:v>
      </x:c>
    </x:row>
    <x:row r="62">
      <x:c r="A62" s="51" t="str">
        <x:v>SRC-058</x:v>
      </x:c>
      <x:c r="B62" s="51" t="str">
        <x:v>NBC News</x:v>
      </x:c>
      <x:c r="C62" s="51" t="str">
        <x:v>nbcnews.com</x:v>
      </x:c>
      <x:c r="D62" s="51" t="str">
        <x:v>Uploaded list</x:v>
      </x:c>
      <x:c r="E62" s="51" t="str">
        <x:v>Original journalism</x:v>
      </x:c>
      <x:c r="F62" s="51" t="str">
        <x:v>Yes</x:v>
      </x:c>
      <x:c r="G62" s="51" t="str">
        <x:v>Yes</x:v>
      </x:c>
      <x:c r="H62" s="51" t="str">
        <x:v>Original reporting likely</x:v>
      </x:c>
      <x:c r="I62" s="51" t="str">
        <x:v>Unknown / verify</x:v>
      </x:c>
      <x:c r="J62" s="51" t="str">
        <x:v>Not listed</x:v>
      </x:c>
      <x:c r="K62" s="51" t="str">
        <x:v>Tier 1</x:v>
      </x:c>
      <x:c r="L62" s="51" t="str">
        <x:v>High</x:v>
      </x:c>
      <x:c r="M62" s="51" t="str">
        <x:v>General / AI</x:v>
      </x:c>
      <x:c r="N62" s="51" t="str">
        <x:v>P1</x:v>
      </x:c>
      <x:c r="O62" s="51" t="str">
        <x:v>Unknown / verify</x:v>
      </x:c>
      <x:c r="P62" s="51" t="str">
        <x:v>Yes</x:v>
      </x:c>
      <x:c r="Q62" s="51" t="str">
        <x:v>Pending</x:v>
      </x:c>
      <x:c r="R62" s="51" t="str">
        <x:v>Major network news; recommend approve | Candidate for direct citation when article itself is the original reporting.</x:v>
      </x:c>
    </x:row>
    <x:row r="63">
      <x:c r="A63" s="51" t="str">
        <x:v>SRC-059</x:v>
      </x:c>
      <x:c r="B63" s="51" t="str">
        <x:v>NPR</x:v>
      </x:c>
      <x:c r="C63" s="51" t="str">
        <x:v>npr.org</x:v>
      </x:c>
      <x:c r="D63" s="51" t="str">
        <x:v>Uploaded list</x:v>
      </x:c>
      <x:c r="E63" s="51" t="str">
        <x:v>Original journalism</x:v>
      </x:c>
      <x:c r="F63" s="51" t="str">
        <x:v>Yes</x:v>
      </x:c>
      <x:c r="G63" s="51" t="str">
        <x:v>Yes</x:v>
      </x:c>
      <x:c r="H63" s="51" t="str">
        <x:v>Original reporting likely</x:v>
      </x:c>
      <x:c r="I63" s="51" t="str">
        <x:v>Unknown / verify</x:v>
      </x:c>
      <x:c r="J63" s="51" t="str"/>
      <x:c r="K63" s="51" t="str"/>
      <x:c r="L63" s="51" t="str">
        <x:v>High</x:v>
      </x:c>
      <x:c r="M63" s="51" t="str">
        <x:v>General / AI</x:v>
      </x:c>
      <x:c r="N63" s="51" t="str">
        <x:v>P1</x:v>
      </x:c>
      <x:c r="O63" s="51" t="str">
        <x:v>Unknown / verify</x:v>
      </x:c>
      <x:c r="P63" s="51" t="str">
        <x:v>Yes</x:v>
      </x:c>
      <x:c r="Q63" s="51" t="str">
        <x:v>Pending</x:v>
      </x:c>
      <x:c r="R63" s="51" t="str">
        <x:v>Candidate for direct citation when article itself is the original reporting.</x:v>
      </x:c>
    </x:row>
    <x:row r="64">
      <x:c r="A64" s="51" t="str">
        <x:v>SRC-060</x:v>
      </x:c>
      <x:c r="B64" s="51" t="str">
        <x:v>NSFOCUS Global</x:v>
      </x:c>
      <x:c r="C64" s="51" t="str">
        <x:v>nsfocusglobal.com</x:v>
      </x:c>
      <x:c r="D64" s="51" t="str">
        <x:v>Uploaded list</x:v>
      </x:c>
      <x:c r="E64" s="51" t="str">
        <x:v>Vendor / self-report</x:v>
      </x:c>
      <x:c r="F64" s="51" t="str">
        <x:v>Yes</x:v>
      </x:c>
      <x:c r="G64" s="51" t="str">
        <x:v>Conditional</x:v>
      </x:c>
      <x:c r="H64" s="51" t="str">
        <x:v>Self-report</x:v>
      </x:c>
      <x:c r="I64" s="51" t="str">
        <x:v>Unknown / verify</x:v>
      </x:c>
      <x:c r="J64" s="51" t="str">
        <x:v>Not listed</x:v>
      </x:c>
      <x:c r="K64" s="51" t="str">
        <x:v>Tier 3</x:v>
      </x:c>
      <x:c r="L64" s="51" t="str">
        <x:v>Medium</x:v>
      </x:c>
      <x:c r="M64" s="51" t="str">
        <x:v>Security</x:v>
      </x:c>
      <x:c r="N64" s="51" t="str">
        <x:v>P2</x:v>
      </x:c>
      <x:c r="O64" s="51" t="str">
        <x:v>Unknown / verify</x:v>
      </x:c>
      <x:c r="P64" s="51" t="str">
        <x:v>Yes</x:v>
      </x:c>
      <x:c r="Q64" s="51" t="str">
        <x:v>Pending</x:v>
      </x:c>
      <x:c r="R64" s="51" t="str">
        <x:v>Security vendor blog; secondhand summary of Sysdig's work | Eligible for own research/announcement; corroborate broader claims when practical.</x:v>
      </x:c>
    </x:row>
    <x:row r="65">
      <x:c r="A65" s="51" t="str">
        <x:v>SRC-061</x:v>
      </x:c>
      <x:c r="B65" s="51" t="str">
        <x:v>NVIDIA Blog</x:v>
      </x:c>
      <x:c r="C65" s="51" t="str">
        <x:v>blogs.nvidia.com</x:v>
      </x:c>
      <x:c r="D65" s="51" t="str">
        <x:v>Uploaded list</x:v>
      </x:c>
      <x:c r="E65" s="51" t="str">
        <x:v>Primary source</x:v>
      </x:c>
      <x:c r="F65" s="51" t="str">
        <x:v>Yes</x:v>
      </x:c>
      <x:c r="G65" s="51" t="str">
        <x:v>Yes</x:v>
      </x:c>
      <x:c r="H65" s="51" t="str">
        <x:v>Primary/self-report</x:v>
      </x:c>
      <x:c r="I65" s="51" t="str">
        <x:v>Unknown / verify</x:v>
      </x:c>
      <x:c r="J65" s="51" t="str"/>
      <x:c r="K65" s="51" t="str"/>
      <x:c r="L65" s="51" t="str">
        <x:v>High</x:v>
      </x:c>
      <x:c r="M65" s="51" t="str">
        <x:v>Infrastructure / Models</x:v>
      </x:c>
      <x:c r="N65" s="51" t="str">
        <x:v>P1</x:v>
      </x:c>
      <x:c r="O65" s="51" t="str">
        <x:v>Unknown / verify</x:v>
      </x:c>
      <x:c r="P65" s="51" t="str">
        <x:v>Yes</x:v>
      </x:c>
      <x:c r="Q65" s="51" t="str">
        <x:v>Pending</x:v>
      </x:c>
      <x:c r="R65" s="51" t="str">
        <x:v>Strong candidate for direct monitoring; broader claims may still need corroboration.</x:v>
      </x:c>
    </x:row>
    <x:row r="66">
      <x:c r="A66" s="51" t="str">
        <x:v>SRC-062</x:v>
      </x:c>
      <x:c r="B66" s="51" t="str">
        <x:v>OpenAI</x:v>
      </x:c>
      <x:c r="C66" s="51" t="str">
        <x:v>openai.com</x:v>
      </x:c>
      <x:c r="D66" s="51" t="str">
        <x:v>Uploaded list</x:v>
      </x:c>
      <x:c r="E66" s="51" t="str">
        <x:v>Primary source</x:v>
      </x:c>
      <x:c r="F66" s="51" t="str">
        <x:v>Yes</x:v>
      </x:c>
      <x:c r="G66" s="51" t="str">
        <x:v>Yes</x:v>
      </x:c>
      <x:c r="H66" s="51" t="str">
        <x:v>Primary/self-report</x:v>
      </x:c>
      <x:c r="I66" s="51" t="str">
        <x:v>Unknown / verify</x:v>
      </x:c>
      <x:c r="J66" s="51" t="str"/>
      <x:c r="K66" s="51" t="str"/>
      <x:c r="L66" s="51" t="str">
        <x:v>High</x:v>
      </x:c>
      <x:c r="M66" s="51" t="str">
        <x:v>Models / Research</x:v>
      </x:c>
      <x:c r="N66" s="51" t="str">
        <x:v>P1</x:v>
      </x:c>
      <x:c r="O66" s="51" t="str">
        <x:v>Unknown / verify</x:v>
      </x:c>
      <x:c r="P66" s="51" t="str">
        <x:v>Yes</x:v>
      </x:c>
      <x:c r="Q66" s="51" t="str">
        <x:v>Pending</x:v>
      </x:c>
      <x:c r="R66" s="51" t="str">
        <x:v>Strong candidate for direct monitoring; broader claims may still need corroboration.</x:v>
      </x:c>
    </x:row>
    <x:row r="67">
      <x:c r="A67" s="51" t="str">
        <x:v>SRC-063</x:v>
      </x:c>
      <x:c r="B67" s="51" t="str">
        <x:v>Proactive Investors</x:v>
      </x:c>
      <x:c r="C67" s="51" t="str">
        <x:v>proactiveinvestors.com</x:v>
      </x:c>
      <x:c r="D67" s="51" t="str">
        <x:v>Uploaded list</x:v>
      </x:c>
      <x:c r="E67" s="51" t="str">
        <x:v>Review / low-signal</x:v>
      </x:c>
      <x:c r="F67" s="51" t="str">
        <x:v>No</x:v>
      </x:c>
      <x:c r="G67" s="51" t="str">
        <x:v>Conditional</x:v>
      </x:c>
      <x:c r="H67" s="51" t="str">
        <x:v>Varies</x:v>
      </x:c>
      <x:c r="I67" s="51" t="str">
        <x:v>Unknown / verify</x:v>
      </x:c>
      <x:c r="J67" s="51" t="str">
        <x:v>Not listed</x:v>
      </x:c>
      <x:c r="K67" s="51" t="str">
        <x:v>Tier 3</x:v>
      </x:c>
      <x:c r="L67" s="51" t="str">
        <x:v>Low</x:v>
      </x:c>
      <x:c r="M67" s="51" t="str">
        <x:v>General / AI</x:v>
      </x:c>
      <x:c r="N67" s="51" t="str">
        <x:v>P3</x:v>
      </x:c>
      <x:c r="O67" s="51" t="str">
        <x:v>Unknown / verify</x:v>
      </x:c>
      <x:c r="P67" s="51" t="str">
        <x:v>No</x:v>
      </x:c>
      <x:c r="Q67" s="51" t="str">
        <x:v>Pending</x:v>
      </x:c>
      <x:c r="R67" s="51" t="str">
        <x:v>Small-cap financial wire; history of close ties to covered companies | Keep disabled until manually reviewed against current source criteria.</x:v>
      </x:c>
    </x:row>
    <x:row r="68">
      <x:c r="A68" s="51" t="str">
        <x:v>SRC-064</x:v>
      </x:c>
      <x:c r="B68" s="51" t="str">
        <x:v>Reuters</x:v>
      </x:c>
      <x:c r="C68" s="51" t="str">
        <x:v>reuters.com</x:v>
      </x:c>
      <x:c r="D68" s="51" t="str">
        <x:v>Uploaded list</x:v>
      </x:c>
      <x:c r="E68" s="51" t="str">
        <x:v>Original journalism</x:v>
      </x:c>
      <x:c r="F68" s="51" t="str">
        <x:v>Yes</x:v>
      </x:c>
      <x:c r="G68" s="51" t="str">
        <x:v>Yes</x:v>
      </x:c>
      <x:c r="H68" s="51" t="str">
        <x:v>Original reporting likely</x:v>
      </x:c>
      <x:c r="I68" s="51" t="str">
        <x:v>Unknown / verify</x:v>
      </x:c>
      <x:c r="J68" s="51" t="str"/>
      <x:c r="K68" s="51" t="str"/>
      <x:c r="L68" s="51" t="str">
        <x:v>High</x:v>
      </x:c>
      <x:c r="M68" s="51" t="str">
        <x:v>General / AI</x:v>
      </x:c>
      <x:c r="N68" s="51" t="str">
        <x:v>P1</x:v>
      </x:c>
      <x:c r="O68" s="51" t="str">
        <x:v>Unknown / verify</x:v>
      </x:c>
      <x:c r="P68" s="51" t="str">
        <x:v>Yes</x:v>
      </x:c>
      <x:c r="Q68" s="51" t="str">
        <x:v>Pending</x:v>
      </x:c>
      <x:c r="R68" s="51" t="str">
        <x:v>Candidate for direct citation when article itself is the original reporting.</x:v>
      </x:c>
    </x:row>
    <x:row r="69">
      <x:c r="A69" s="51" t="str">
        <x:v>SRC-065</x:v>
      </x:c>
      <x:c r="B69" s="51" t="str">
        <x:v>ScienceDaily</x:v>
      </x:c>
      <x:c r="C69" s="51" t="str">
        <x:v>sciencedaily.com</x:v>
      </x:c>
      <x:c r="D69" s="51" t="str">
        <x:v>Uploaded list</x:v>
      </x:c>
      <x:c r="E69" s="51" t="str">
        <x:v>Discovery-only</x:v>
      </x:c>
      <x:c r="F69" s="51" t="str">
        <x:v>Yes</x:v>
      </x:c>
      <x:c r="G69" s="51" t="str">
        <x:v>No</x:v>
      </x:c>
      <x:c r="H69" s="51" t="str">
        <x:v>Lead generation</x:v>
      </x:c>
      <x:c r="I69" s="51" t="str">
        <x:v>Unknown / verify</x:v>
      </x:c>
      <x:c r="J69" s="51" t="str">
        <x:v>Not listed</x:v>
      </x:c>
      <x:c r="K69" s="51" t="str">
        <x:v>Tier 1</x:v>
      </x:c>
      <x:c r="L69" s="51" t="str">
        <x:v>High</x:v>
      </x:c>
      <x:c r="M69" s="51" t="str">
        <x:v>General / AI</x:v>
      </x:c>
      <x:c r="N69" s="51" t="str">
        <x:v>P1</x:v>
      </x:c>
      <x:c r="O69" s="51" t="str">
        <x:v>Unknown / verify</x:v>
      </x:c>
      <x:c r="P69" s="51" t="str">
        <x:v>Yes</x:v>
      </x:c>
      <x:c r="Q69" s="51" t="str">
        <x:v>Pending</x:v>
      </x:c>
      <x:c r="R69" s="51" t="str">
        <x:v>Accurate but mostly verbatim press releases, not independent reporting | Use to discover leads; resolve to primary source/original reporting before review.</x:v>
      </x:c>
    </x:row>
    <x:row r="70">
      <x:c r="A70" s="51" t="str">
        <x:v>SRC-066</x:v>
      </x:c>
      <x:c r="B70" s="51" t="str">
        <x:v>Security Affairs</x:v>
      </x:c>
      <x:c r="C70" s="51" t="str">
        <x:v>securityaffairs.com</x:v>
      </x:c>
      <x:c r="D70" s="51" t="str">
        <x:v>Uploaded list</x:v>
      </x:c>
      <x:c r="E70" s="51" t="str">
        <x:v>Specialist trade / regional</x:v>
      </x:c>
      <x:c r="F70" s="51" t="str">
        <x:v>Yes</x:v>
      </x:c>
      <x:c r="G70" s="51" t="str">
        <x:v>Conditional</x:v>
      </x:c>
      <x:c r="H70" s="51" t="str">
        <x:v>Original reporting varies</x:v>
      </x:c>
      <x:c r="I70" s="51" t="str">
        <x:v>Unknown / verify</x:v>
      </x:c>
      <x:c r="J70" s="51" t="str">
        <x:v>Not listed</x:v>
      </x:c>
      <x:c r="K70" s="51" t="str">
        <x:v>Tier 2</x:v>
      </x:c>
      <x:c r="L70" s="51" t="str">
        <x:v>Medium</x:v>
      </x:c>
      <x:c r="M70" s="51" t="str">
        <x:v>Security</x:v>
      </x:c>
      <x:c r="N70" s="51" t="str">
        <x:v>P2</x:v>
      </x:c>
      <x:c r="O70" s="51" t="str">
        <x:v>Unknown / verify</x:v>
      </x:c>
      <x:c r="P70" s="51" t="str">
        <x:v>Yes</x:v>
      </x:c>
      <x:c r="Q70" s="51" t="str">
        <x:v>Pending</x:v>
      </x:c>
      <x:c r="R70" s="51" t="str">
        <x:v>Solid but single-author operation | Use article-level judgment; verify whether reporting is original or syndicated.</x:v>
      </x:c>
    </x:row>
    <x:row r="71">
      <x:c r="A71" s="51" t="str">
        <x:v>SRC-067</x:v>
      </x:c>
      <x:c r="B71" s="51" t="str">
        <x:v>SiliconANGLE</x:v>
      </x:c>
      <x:c r="C71" s="51" t="str">
        <x:v>siliconangle.com</x:v>
      </x:c>
      <x:c r="D71" s="51" t="str">
        <x:v>Uploaded list</x:v>
      </x:c>
      <x:c r="E71" s="51" t="str">
        <x:v>Original journalism</x:v>
      </x:c>
      <x:c r="F71" s="51" t="str">
        <x:v>Yes</x:v>
      </x:c>
      <x:c r="G71" s="51" t="str">
        <x:v>Yes</x:v>
      </x:c>
      <x:c r="H71" s="51" t="str">
        <x:v>Original reporting likely</x:v>
      </x:c>
      <x:c r="I71" s="51" t="str">
        <x:v>Unknown / verify</x:v>
      </x:c>
      <x:c r="J71" s="51" t="str"/>
      <x:c r="K71" s="51" t="str"/>
      <x:c r="L71" s="51" t="str">
        <x:v>High</x:v>
      </x:c>
      <x:c r="M71" s="51" t="str">
        <x:v>General / AI</x:v>
      </x:c>
      <x:c r="N71" s="51" t="str">
        <x:v>P1</x:v>
      </x:c>
      <x:c r="O71" s="51" t="str">
        <x:v>Unknown / verify</x:v>
      </x:c>
      <x:c r="P71" s="51" t="str">
        <x:v>Yes</x:v>
      </x:c>
      <x:c r="Q71" s="51" t="str">
        <x:v>Pending</x:v>
      </x:c>
      <x:c r="R71" s="51" t="str">
        <x:v>Candidate for direct citation when article itself is the original reporting.</x:v>
      </x:c>
    </x:row>
    <x:row r="72">
      <x:c r="A72" s="51" t="str">
        <x:v>SRC-068</x:v>
      </x:c>
      <x:c r="B72" s="51" t="str">
        <x:v>Stocktwits</x:v>
      </x:c>
      <x:c r="C72" s="51" t="str">
        <x:v>stocktwits.com</x:v>
      </x:c>
      <x:c r="D72" s="51" t="str">
        <x:v>Uploaded list</x:v>
      </x:c>
      <x:c r="E72" s="51" t="str">
        <x:v>Exclude / background</x:v>
      </x:c>
      <x:c r="F72" s="51" t="str">
        <x:v>No</x:v>
      </x:c>
      <x:c r="G72" s="51" t="str">
        <x:v>No</x:v>
      </x:c>
      <x:c r="H72" s="51" t="str">
        <x:v>Background/aggregation</x:v>
      </x:c>
      <x:c r="I72" s="51" t="str">
        <x:v>Unknown / verify</x:v>
      </x:c>
      <x:c r="J72" s="51" t="str">
        <x:v>Not listed</x:v>
      </x:c>
      <x:c r="K72" s="51" t="str">
        <x:v>Tier 3</x:v>
      </x:c>
      <x:c r="L72" s="51" t="str">
        <x:v>High</x:v>
      </x:c>
      <x:c r="M72" s="51" t="str">
        <x:v>General / AI</x:v>
      </x:c>
      <x:c r="N72" s="51" t="str">
        <x:v>P3</x:v>
      </x:c>
      <x:c r="O72" s="51" t="str">
        <x:v>Unknown / verify</x:v>
      </x:c>
      <x:c r="P72" s="51" t="str">
        <x:v>No</x:v>
      </x:c>
      <x:c r="Q72" s="51" t="str">
        <x:v>Pending</x:v>
      </x:c>
      <x:c r="R72" s="51" t="str">
        <x:v>Social trading platform, aggregated/community content | Do not use as final news citation; retain only for background or lead discovery if later enabled.</x:v>
      </x:c>
    </x:row>
    <x:row r="73">
      <x:c r="A73" s="51" t="str">
        <x:v>SRC-069</x:v>
      </x:c>
      <x:c r="B73" s="51" t="str">
        <x:v>Sysdig</x:v>
      </x:c>
      <x:c r="C73" s="51" t="str">
        <x:v>sysdig.com</x:v>
      </x:c>
      <x:c r="D73" s="51" t="str">
        <x:v>Uploaded list</x:v>
      </x:c>
      <x:c r="E73" s="51" t="str">
        <x:v>Vendor / self-report</x:v>
      </x:c>
      <x:c r="F73" s="51" t="str">
        <x:v>Yes</x:v>
      </x:c>
      <x:c r="G73" s="51" t="str">
        <x:v>Conditional</x:v>
      </x:c>
      <x:c r="H73" s="51" t="str">
        <x:v>Self-report</x:v>
      </x:c>
      <x:c r="I73" s="51" t="str">
        <x:v>Unknown / verify</x:v>
      </x:c>
      <x:c r="J73" s="51" t="str">
        <x:v>Not listed</x:v>
      </x:c>
      <x:c r="K73" s="51" t="str">
        <x:v>Tier 3</x:v>
      </x:c>
      <x:c r="L73" s="51" t="str">
        <x:v>Medium</x:v>
      </x:c>
      <x:c r="M73" s="51" t="str">
        <x:v>Security</x:v>
      </x:c>
      <x:c r="N73" s="51" t="str">
        <x:v>P2</x:v>
      </x:c>
      <x:c r="O73" s="51" t="str">
        <x:v>Unknown / verify</x:v>
      </x:c>
      <x:c r="P73" s="51" t="str">
        <x:v>Yes</x:v>
      </x:c>
      <x:c r="Q73" s="51" t="str">
        <x:v>Pending</x:v>
      </x:c>
      <x:c r="R73" s="51" t="str">
        <x:v>Security vendor's own blog — factually strong on its own research (discovered JadePuffer), but inherently promotional | Eligible for own research/announcement; corroborate broader claims when practical.</x:v>
      </x:c>
    </x:row>
    <x:row r="74">
      <x:c r="A74" s="51" t="str">
        <x:v>SRC-070</x:v>
      </x:c>
      <x:c r="B74" s="51" t="str">
        <x:v>Tech Policy Press</x:v>
      </x:c>
      <x:c r="C74" s="51" t="str">
        <x:v>techpolicy.press</x:v>
      </x:c>
      <x:c r="D74" s="51" t="str">
        <x:v>Uploaded list</x:v>
      </x:c>
      <x:c r="E74" s="51" t="str">
        <x:v>Original journalism</x:v>
      </x:c>
      <x:c r="F74" s="51" t="str">
        <x:v>Yes</x:v>
      </x:c>
      <x:c r="G74" s="51" t="str">
        <x:v>Yes</x:v>
      </x:c>
      <x:c r="H74" s="51" t="str">
        <x:v>Original reporting likely</x:v>
      </x:c>
      <x:c r="I74" s="51" t="str">
        <x:v>Unknown / verify</x:v>
      </x:c>
      <x:c r="J74" s="51" t="str">
        <x:v>Approved</x:v>
      </x:c>
      <x:c r="K74" s="51" t="str">
        <x:v>Tier 1</x:v>
      </x:c>
      <x:c r="L74" s="51" t="str">
        <x:v>High</x:v>
      </x:c>
      <x:c r="M74" s="51" t="str">
        <x:v>Governance</x:v>
      </x:c>
      <x:c r="N74" s="51" t="str">
        <x:v>P1</x:v>
      </x:c>
      <x:c r="O74" s="51" t="str">
        <x:v>Unknown / verify</x:v>
      </x:c>
      <x:c r="P74" s="51" t="str">
        <x:v>Yes</x:v>
      </x:c>
      <x:c r="Q74" s="51" t="str">
        <x:v>Pending</x:v>
      </x:c>
      <x:c r="R74" s="51" t="str">
        <x:v>Nonprofit AI policy journalism, well-regarded | Candidate for direct citation when article itself is the original reporting.</x:v>
      </x:c>
    </x:row>
    <x:row r="75">
      <x:c r="A75" s="51" t="str">
        <x:v>SRC-071</x:v>
      </x:c>
      <x:c r="B75" s="51" t="str">
        <x:v>Tech Startups</x:v>
      </x:c>
      <x:c r="C75" s="51" t="str">
        <x:v>techstartups.com</x:v>
      </x:c>
      <x:c r="D75" s="51" t="str">
        <x:v>Uploaded list</x:v>
      </x:c>
      <x:c r="E75" s="51" t="str">
        <x:v>Discovery-only</x:v>
      </x:c>
      <x:c r="F75" s="51" t="str">
        <x:v>Yes</x:v>
      </x:c>
      <x:c r="G75" s="51" t="str">
        <x:v>No</x:v>
      </x:c>
      <x:c r="H75" s="51" t="str">
        <x:v>Lead generation</x:v>
      </x:c>
      <x:c r="I75" s="51" t="str">
        <x:v>Unknown / verify</x:v>
      </x:c>
      <x:c r="J75" s="51" t="str">
        <x:v>Pending review</x:v>
      </x:c>
      <x:c r="K75" s="51" t="str">
        <x:v>Tier 2</x:v>
      </x:c>
      <x:c r="L75" s="51" t="str">
        <x:v>High</x:v>
      </x:c>
      <x:c r="M75" s="51" t="str">
        <x:v>General / AI</x:v>
      </x:c>
      <x:c r="N75" s="51" t="str">
        <x:v>P1</x:v>
      </x:c>
      <x:c r="O75" s="51" t="str">
        <x:v>Unknown / verify</x:v>
      </x:c>
      <x:c r="P75" s="51" t="str">
        <x:v>Yes</x:v>
      </x:c>
      <x:c r="Q75" s="51" t="str">
        <x:v>Pending</x:v>
      </x:c>
      <x:c r="R75" s="51" t="str">
        <x:v>Aggregator style, light editorial process | Use to discover leads; resolve to primary source/original reporting before review.</x:v>
      </x:c>
    </x:row>
    <x:row r="76">
      <x:c r="A76" s="51" t="str">
        <x:v>SRC-072</x:v>
      </x:c>
      <x:c r="B76" s="51" t="str">
        <x:v>TechCrunch</x:v>
      </x:c>
      <x:c r="C76" s="51" t="str">
        <x:v>techcrunch.com</x:v>
      </x:c>
      <x:c r="D76" s="51" t="str">
        <x:v>Uploaded list</x:v>
      </x:c>
      <x:c r="E76" s="51" t="str">
        <x:v>Original journalism</x:v>
      </x:c>
      <x:c r="F76" s="51" t="str">
        <x:v>Yes</x:v>
      </x:c>
      <x:c r="G76" s="51" t="str">
        <x:v>Yes</x:v>
      </x:c>
      <x:c r="H76" s="51" t="str">
        <x:v>Original reporting likely</x:v>
      </x:c>
      <x:c r="I76" s="51" t="str">
        <x:v>Unknown / verify</x:v>
      </x:c>
      <x:c r="J76" s="51" t="str">
        <x:v>Approved</x:v>
      </x:c>
      <x:c r="K76" s="51" t="str">
        <x:v>Tier 1</x:v>
      </x:c>
      <x:c r="L76" s="51" t="str">
        <x:v>High</x:v>
      </x:c>
      <x:c r="M76" s="51" t="str">
        <x:v>General / AI</x:v>
      </x:c>
      <x:c r="N76" s="51" t="str">
        <x:v>P1</x:v>
      </x:c>
      <x:c r="O76" s="51" t="str">
        <x:v>Unknown / verify</x:v>
      </x:c>
      <x:c r="P76" s="51" t="str">
        <x:v>Yes</x:v>
      </x:c>
      <x:c r="Q76" s="51" t="str">
        <x:v>Pending</x:v>
      </x:c>
      <x:c r="R76" s="51" t="str">
        <x:v>Major tech outlet, strong editorial standards | Candidate for direct citation when article itself is the original reporting.</x:v>
      </x:c>
    </x:row>
    <x:row r="77">
      <x:c r="A77" s="51" t="str">
        <x:v>SRC-073</x:v>
      </x:c>
      <x:c r="B77" s="51" t="str">
        <x:v>Techmeme</x:v>
      </x:c>
      <x:c r="C77" s="51" t="str">
        <x:v>techmeme.com</x:v>
      </x:c>
      <x:c r="D77" s="51" t="str">
        <x:v>Competitor/discovery candidate</x:v>
      </x:c>
      <x:c r="E77" s="51" t="str">
        <x:v>Discovery-only</x:v>
      </x:c>
      <x:c r="F77" s="51" t="str">
        <x:v>Yes</x:v>
      </x:c>
      <x:c r="G77" s="51" t="str">
        <x:v>No</x:v>
      </x:c>
      <x:c r="H77" s="51" t="str">
        <x:v>Lead generation</x:v>
      </x:c>
      <x:c r="I77" s="51" t="str">
        <x:v>Unknown / verify</x:v>
      </x:c>
      <x:c r="J77" s="51" t="str"/>
      <x:c r="K77" s="51" t="str"/>
      <x:c r="L77" s="51" t="str">
        <x:v>High</x:v>
      </x:c>
      <x:c r="M77" s="51" t="str">
        <x:v>General / AI</x:v>
      </x:c>
      <x:c r="N77" s="51" t="str">
        <x:v>P1</x:v>
      </x:c>
      <x:c r="O77" s="51" t="str">
        <x:v>Unknown / verify</x:v>
      </x:c>
      <x:c r="P77" s="51" t="str">
        <x:v>Yes</x:v>
      </x:c>
      <x:c r="Q77" s="51" t="str">
        <x:v>Pending</x:v>
      </x:c>
      <x:c r="R77" s="51" t="str">
        <x:v>Use to discover leads; resolve to primary source/original reporting before review.</x:v>
      </x:c>
    </x:row>
    <x:row r="78">
      <x:c r="A78" s="51" t="str">
        <x:v>SRC-074</x:v>
      </x:c>
      <x:c r="B78" s="51" t="str">
        <x:v>TechRepublic</x:v>
      </x:c>
      <x:c r="C78" s="51" t="str">
        <x:v>techrepublic.com</x:v>
      </x:c>
      <x:c r="D78" s="51" t="str">
        <x:v>Uploaded list</x:v>
      </x:c>
      <x:c r="E78" s="51" t="str">
        <x:v>Original journalism</x:v>
      </x:c>
      <x:c r="F78" s="51" t="str">
        <x:v>Yes</x:v>
      </x:c>
      <x:c r="G78" s="51" t="str">
        <x:v>Yes</x:v>
      </x:c>
      <x:c r="H78" s="51" t="str">
        <x:v>Original reporting likely</x:v>
      </x:c>
      <x:c r="I78" s="51" t="str">
        <x:v>Unknown / verify</x:v>
      </x:c>
      <x:c r="J78" s="51" t="str"/>
      <x:c r="K78" s="51" t="str"/>
      <x:c r="L78" s="51" t="str">
        <x:v>High</x:v>
      </x:c>
      <x:c r="M78" s="51" t="str">
        <x:v>General / AI</x:v>
      </x:c>
      <x:c r="N78" s="51" t="str">
        <x:v>P1</x:v>
      </x:c>
      <x:c r="O78" s="51" t="str">
        <x:v>Unknown / verify</x:v>
      </x:c>
      <x:c r="P78" s="51" t="str">
        <x:v>Yes</x:v>
      </x:c>
      <x:c r="Q78" s="51" t="str">
        <x:v>Pending</x:v>
      </x:c>
      <x:c r="R78" s="51" t="str">
        <x:v>Candidate for direct citation when article itself is the original reporting.</x:v>
      </x:c>
    </x:row>
    <x:row r="79">
      <x:c r="A79" s="51" t="str">
        <x:v>SRC-075</x:v>
      </x:c>
      <x:c r="B79" s="51" t="str">
        <x:v>The AI Daily Brief</x:v>
      </x:c>
      <x:c r="C79" s="51" t="str"/>
      <x:c r="D79" s="51" t="str">
        <x:v>Podcast/discovery candidate</x:v>
      </x:c>
      <x:c r="E79" s="51" t="str">
        <x:v>Discovery-only</x:v>
      </x:c>
      <x:c r="F79" s="51" t="str">
        <x:v>Yes</x:v>
      </x:c>
      <x:c r="G79" s="51" t="str">
        <x:v>No</x:v>
      </x:c>
      <x:c r="H79" s="51" t="str">
        <x:v>Lead generation</x:v>
      </x:c>
      <x:c r="I79" s="51" t="str">
        <x:v>Unknown / verify</x:v>
      </x:c>
      <x:c r="J79" s="51" t="str"/>
      <x:c r="K79" s="51" t="str"/>
      <x:c r="L79" s="51" t="str">
        <x:v>High</x:v>
      </x:c>
      <x:c r="M79" s="51" t="str">
        <x:v>General / AI</x:v>
      </x:c>
      <x:c r="N79" s="51" t="str">
        <x:v>P1</x:v>
      </x:c>
      <x:c r="O79" s="51" t="str">
        <x:v>Unknown / verify</x:v>
      </x:c>
      <x:c r="P79" s="51" t="str">
        <x:v>Yes</x:v>
      </x:c>
      <x:c r="Q79" s="51" t="str">
        <x:v>Pending</x:v>
      </x:c>
      <x:c r="R79" s="51" t="str">
        <x:v>Use to discover leads; resolve to primary source/original reporting before review.</x:v>
      </x:c>
    </x:row>
    <x:row r="80">
      <x:c r="A80" s="51" t="str">
        <x:v>SRC-076</x:v>
      </x:c>
      <x:c r="B80" s="51" t="str">
        <x:v>The Economist</x:v>
      </x:c>
      <x:c r="C80" s="51" t="str">
        <x:v>economist.com</x:v>
      </x:c>
      <x:c r="D80" s="51" t="str">
        <x:v>Uploaded list</x:v>
      </x:c>
      <x:c r="E80" s="51" t="str">
        <x:v>Original journalism</x:v>
      </x:c>
      <x:c r="F80" s="51" t="str">
        <x:v>Yes</x:v>
      </x:c>
      <x:c r="G80" s="51" t="str">
        <x:v>Yes</x:v>
      </x:c>
      <x:c r="H80" s="51" t="str">
        <x:v>Original reporting likely</x:v>
      </x:c>
      <x:c r="I80" s="51" t="str">
        <x:v>Paywalled / variable</x:v>
      </x:c>
      <x:c r="J80" s="51" t="str"/>
      <x:c r="K80" s="51" t="str"/>
      <x:c r="L80" s="51" t="str">
        <x:v>High</x:v>
      </x:c>
      <x:c r="M80" s="51" t="str">
        <x:v>General / AI</x:v>
      </x:c>
      <x:c r="N80" s="51" t="str">
        <x:v>P1</x:v>
      </x:c>
      <x:c r="O80" s="51" t="str">
        <x:v>Unknown / verify</x:v>
      </x:c>
      <x:c r="P80" s="51" t="str">
        <x:v>Yes</x:v>
      </x:c>
      <x:c r="Q80" s="51" t="str">
        <x:v>Pending</x:v>
      </x:c>
      <x:c r="R80" s="51" t="str">
        <x:v>Candidate for direct citation when article itself is the original reporting.</x:v>
      </x:c>
    </x:row>
    <x:row r="81">
      <x:c r="A81" s="51" t="str">
        <x:v>SRC-077</x:v>
      </x:c>
      <x:c r="B81" s="51" t="str">
        <x:v>The Hans India</x:v>
      </x:c>
      <x:c r="C81" s="51" t="str">
        <x:v>thehansindia.com</x:v>
      </x:c>
      <x:c r="D81" s="51" t="str">
        <x:v>Uploaded list</x:v>
      </x:c>
      <x:c r="E81" s="51" t="str">
        <x:v>Specialist trade / regional</x:v>
      </x:c>
      <x:c r="F81" s="51" t="str">
        <x:v>Yes</x:v>
      </x:c>
      <x:c r="G81" s="51" t="str">
        <x:v>Conditional</x:v>
      </x:c>
      <x:c r="H81" s="51" t="str">
        <x:v>Original reporting varies</x:v>
      </x:c>
      <x:c r="I81" s="51" t="str">
        <x:v>Unknown / verify</x:v>
      </x:c>
      <x:c r="J81" s="51" t="str">
        <x:v>Not listed</x:v>
      </x:c>
      <x:c r="K81" s="51" t="str">
        <x:v>Tier 2</x:v>
      </x:c>
      <x:c r="L81" s="51" t="str">
        <x:v>Medium</x:v>
      </x:c>
      <x:c r="M81" s="51" t="str">
        <x:v>General / AI</x:v>
      </x:c>
      <x:c r="N81" s="51" t="str">
        <x:v>P2</x:v>
      </x:c>
      <x:c r="O81" s="51" t="str">
        <x:v>Unknown / verify</x:v>
      </x:c>
      <x:c r="P81" s="51" t="str">
        <x:v>Yes</x:v>
      </x:c>
      <x:c r="Q81" s="51" t="str">
        <x:v>Pending</x:v>
      </x:c>
      <x:c r="R81" s="51" t="str">
        <x:v>Legitimate regional paper, often syndicates rather than reports | Use article-level judgment; verify whether reporting is original or syndicated.</x:v>
      </x:c>
    </x:row>
    <x:row r="82">
      <x:c r="A82" s="51" t="str">
        <x:v>SRC-078</x:v>
      </x:c>
      <x:c r="B82" s="51" t="str">
        <x:v>The Information</x:v>
      </x:c>
      <x:c r="C82" s="51" t="str">
        <x:v>theinformation.com</x:v>
      </x:c>
      <x:c r="D82" s="51" t="str">
        <x:v>Uploaded list</x:v>
      </x:c>
      <x:c r="E82" s="51" t="str">
        <x:v>Original journalism</x:v>
      </x:c>
      <x:c r="F82" s="51" t="str">
        <x:v>Yes</x:v>
      </x:c>
      <x:c r="G82" s="51" t="str">
        <x:v>Yes</x:v>
      </x:c>
      <x:c r="H82" s="51" t="str">
        <x:v>Original reporting likely</x:v>
      </x:c>
      <x:c r="I82" s="51" t="str">
        <x:v>Paywalled</x:v>
      </x:c>
      <x:c r="J82" s="51" t="str"/>
      <x:c r="K82" s="51" t="str"/>
      <x:c r="L82" s="51" t="str">
        <x:v>High</x:v>
      </x:c>
      <x:c r="M82" s="51" t="str">
        <x:v>General / AI</x:v>
      </x:c>
      <x:c r="N82" s="51" t="str">
        <x:v>P1</x:v>
      </x:c>
      <x:c r="O82" s="51" t="str">
        <x:v>Unknown / verify</x:v>
      </x:c>
      <x:c r="P82" s="51" t="str">
        <x:v>Yes</x:v>
      </x:c>
      <x:c r="Q82" s="51" t="str">
        <x:v>Pending</x:v>
      </x:c>
      <x:c r="R82" s="51" t="str">
        <x:v>Candidate for direct citation when article itself is the original reporting.</x:v>
      </x:c>
    </x:row>
    <x:row r="83">
      <x:c r="A83" s="51" t="str">
        <x:v>SRC-079</x:v>
      </x:c>
      <x:c r="B83" s="51" t="str">
        <x:v>The Neuron</x:v>
      </x:c>
      <x:c r="C83" s="51" t="str"/>
      <x:c r="D83" s="51" t="str">
        <x:v>Uploaded list</x:v>
      </x:c>
      <x:c r="E83" s="51" t="str">
        <x:v>Discovery-only</x:v>
      </x:c>
      <x:c r="F83" s="51" t="str">
        <x:v>Yes</x:v>
      </x:c>
      <x:c r="G83" s="51" t="str">
        <x:v>No</x:v>
      </x:c>
      <x:c r="H83" s="51" t="str">
        <x:v>Lead generation</x:v>
      </x:c>
      <x:c r="I83" s="51" t="str">
        <x:v>Unknown / verify</x:v>
      </x:c>
      <x:c r="J83" s="51" t="str"/>
      <x:c r="K83" s="51" t="str"/>
      <x:c r="L83" s="51" t="str">
        <x:v>High</x:v>
      </x:c>
      <x:c r="M83" s="51" t="str">
        <x:v>General / AI</x:v>
      </x:c>
      <x:c r="N83" s="51" t="str">
        <x:v>P1</x:v>
      </x:c>
      <x:c r="O83" s="51" t="str">
        <x:v>Unknown / verify</x:v>
      </x:c>
      <x:c r="P83" s="51" t="str">
        <x:v>Yes</x:v>
      </x:c>
      <x:c r="Q83" s="51" t="str">
        <x:v>Pending</x:v>
      </x:c>
      <x:c r="R83" s="51" t="str">
        <x:v>Use to discover leads; resolve to primary source/original reporting before review.</x:v>
      </x:c>
    </x:row>
    <x:row r="84">
      <x:c r="A84" s="51" t="str">
        <x:v>SRC-080</x:v>
      </x:c>
      <x:c r="B84" s="51" t="str">
        <x:v>The New Stack</x:v>
      </x:c>
      <x:c r="C84" s="51" t="str">
        <x:v>thenewstack.io</x:v>
      </x:c>
      <x:c r="D84" s="51" t="str">
        <x:v>Uploaded list</x:v>
      </x:c>
      <x:c r="E84" s="51" t="str">
        <x:v>Original journalism</x:v>
      </x:c>
      <x:c r="F84" s="51" t="str">
        <x:v>Yes</x:v>
      </x:c>
      <x:c r="G84" s="51" t="str">
        <x:v>Yes</x:v>
      </x:c>
      <x:c r="H84" s="51" t="str">
        <x:v>Original reporting likely</x:v>
      </x:c>
      <x:c r="I84" s="51" t="str">
        <x:v>Unknown / verify</x:v>
      </x:c>
      <x:c r="J84" s="51" t="str"/>
      <x:c r="K84" s="51" t="str"/>
      <x:c r="L84" s="51" t="str">
        <x:v>High</x:v>
      </x:c>
      <x:c r="M84" s="51" t="str">
        <x:v>General / AI</x:v>
      </x:c>
      <x:c r="N84" s="51" t="str">
        <x:v>P1</x:v>
      </x:c>
      <x:c r="O84" s="51" t="str">
        <x:v>Unknown / verify</x:v>
      </x:c>
      <x:c r="P84" s="51" t="str">
        <x:v>Yes</x:v>
      </x:c>
      <x:c r="Q84" s="51" t="str">
        <x:v>Pending</x:v>
      </x:c>
      <x:c r="R84" s="51" t="str">
        <x:v>Candidate for direct citation when article itself is the original reporting.</x:v>
      </x:c>
    </x:row>
    <x:row r="85">
      <x:c r="A85" s="51" t="str">
        <x:v>SRC-081</x:v>
      </x:c>
      <x:c r="B85" s="51" t="str">
        <x:v>The New York Times</x:v>
      </x:c>
      <x:c r="C85" s="51" t="str">
        <x:v>nytimes.com</x:v>
      </x:c>
      <x:c r="D85" s="51" t="str">
        <x:v>Uploaded list</x:v>
      </x:c>
      <x:c r="E85" s="51" t="str">
        <x:v>Original journalism</x:v>
      </x:c>
      <x:c r="F85" s="51" t="str">
        <x:v>Yes</x:v>
      </x:c>
      <x:c r="G85" s="51" t="str">
        <x:v>Yes</x:v>
      </x:c>
      <x:c r="H85" s="51" t="str">
        <x:v>Original reporting likely</x:v>
      </x:c>
      <x:c r="I85" s="51" t="str">
        <x:v>Paywalled / variable</x:v>
      </x:c>
      <x:c r="J85" s="51" t="str"/>
      <x:c r="K85" s="51" t="str"/>
      <x:c r="L85" s="51" t="str">
        <x:v>High</x:v>
      </x:c>
      <x:c r="M85" s="51" t="str">
        <x:v>General / AI</x:v>
      </x:c>
      <x:c r="N85" s="51" t="str">
        <x:v>P1</x:v>
      </x:c>
      <x:c r="O85" s="51" t="str">
        <x:v>Unknown / verify</x:v>
      </x:c>
      <x:c r="P85" s="51" t="str">
        <x:v>Yes</x:v>
      </x:c>
      <x:c r="Q85" s="51" t="str">
        <x:v>Pending</x:v>
      </x:c>
      <x:c r="R85" s="51" t="str">
        <x:v>Candidate for direct citation when article itself is the original reporting.</x:v>
      </x:c>
    </x:row>
    <x:row r="86">
      <x:c r="A86" s="51" t="str">
        <x:v>SRC-082</x:v>
      </x:c>
      <x:c r="B86" s="51" t="str">
        <x:v>The Rundown AI</x:v>
      </x:c>
      <x:c r="C86" s="51" t="str"/>
      <x:c r="D86" s="51" t="str">
        <x:v>Uploaded list</x:v>
      </x:c>
      <x:c r="E86" s="51" t="str">
        <x:v>Discovery-only</x:v>
      </x:c>
      <x:c r="F86" s="51" t="str">
        <x:v>Yes</x:v>
      </x:c>
      <x:c r="G86" s="51" t="str">
        <x:v>No</x:v>
      </x:c>
      <x:c r="H86" s="51" t="str">
        <x:v>Lead generation</x:v>
      </x:c>
      <x:c r="I86" s="51" t="str">
        <x:v>Unknown / verify</x:v>
      </x:c>
      <x:c r="J86" s="51" t="str"/>
      <x:c r="K86" s="51" t="str"/>
      <x:c r="L86" s="51" t="str">
        <x:v>High</x:v>
      </x:c>
      <x:c r="M86" s="51" t="str">
        <x:v>General / AI</x:v>
      </x:c>
      <x:c r="N86" s="51" t="str">
        <x:v>P1</x:v>
      </x:c>
      <x:c r="O86" s="51" t="str">
        <x:v>Unknown / verify</x:v>
      </x:c>
      <x:c r="P86" s="51" t="str">
        <x:v>Yes</x:v>
      </x:c>
      <x:c r="Q86" s="51" t="str">
        <x:v>Pending</x:v>
      </x:c>
      <x:c r="R86" s="51" t="str">
        <x:v>Use to discover leads; resolve to primary source/original reporting before review.</x:v>
      </x:c>
    </x:row>
    <x:row r="87">
      <x:c r="A87" s="51" t="str">
        <x:v>SRC-083</x:v>
      </x:c>
      <x:c r="B87" s="51" t="str">
        <x:v>The Verge</x:v>
      </x:c>
      <x:c r="C87" s="51" t="str">
        <x:v>theverge.com</x:v>
      </x:c>
      <x:c r="D87" s="51" t="str">
        <x:v>Uploaded list</x:v>
      </x:c>
      <x:c r="E87" s="51" t="str">
        <x:v>Original journalism</x:v>
      </x:c>
      <x:c r="F87" s="51" t="str">
        <x:v>Yes</x:v>
      </x:c>
      <x:c r="G87" s="51" t="str">
        <x:v>Yes</x:v>
      </x:c>
      <x:c r="H87" s="51" t="str">
        <x:v>Original reporting likely</x:v>
      </x:c>
      <x:c r="I87" s="51" t="str">
        <x:v>Unknown / verify</x:v>
      </x:c>
      <x:c r="J87" s="51" t="str"/>
      <x:c r="K87" s="51" t="str"/>
      <x:c r="L87" s="51" t="str">
        <x:v>High</x:v>
      </x:c>
      <x:c r="M87" s="51" t="str">
        <x:v>General / AI</x:v>
      </x:c>
      <x:c r="N87" s="51" t="str">
        <x:v>P1</x:v>
      </x:c>
      <x:c r="O87" s="51" t="str">
        <x:v>Unknown / verify</x:v>
      </x:c>
      <x:c r="P87" s="51" t="str">
        <x:v>Yes</x:v>
      </x:c>
      <x:c r="Q87" s="51" t="str">
        <x:v>Pending</x:v>
      </x:c>
      <x:c r="R87" s="51" t="str">
        <x:v>Candidate for direct citation when article itself is the original reporting.</x:v>
      </x:c>
    </x:row>
    <x:row r="88">
      <x:c r="A88" s="51" t="str">
        <x:v>SRC-084</x:v>
      </x:c>
      <x:c r="B88" s="51" t="str">
        <x:v>The Wall Street Journal</x:v>
      </x:c>
      <x:c r="C88" s="51" t="str">
        <x:v>wsj.com</x:v>
      </x:c>
      <x:c r="D88" s="51" t="str">
        <x:v>Uploaded list</x:v>
      </x:c>
      <x:c r="E88" s="51" t="str">
        <x:v>Original journalism</x:v>
      </x:c>
      <x:c r="F88" s="51" t="str">
        <x:v>Yes</x:v>
      </x:c>
      <x:c r="G88" s="51" t="str">
        <x:v>Yes</x:v>
      </x:c>
      <x:c r="H88" s="51" t="str">
        <x:v>Original reporting likely</x:v>
      </x:c>
      <x:c r="I88" s="51" t="str">
        <x:v>Paywalled / variable</x:v>
      </x:c>
      <x:c r="J88" s="51" t="str"/>
      <x:c r="K88" s="51" t="str"/>
      <x:c r="L88" s="51" t="str">
        <x:v>High</x:v>
      </x:c>
      <x:c r="M88" s="51" t="str">
        <x:v>General / AI</x:v>
      </x:c>
      <x:c r="N88" s="51" t="str">
        <x:v>P1</x:v>
      </x:c>
      <x:c r="O88" s="51" t="str">
        <x:v>Unknown / verify</x:v>
      </x:c>
      <x:c r="P88" s="51" t="str">
        <x:v>Yes</x:v>
      </x:c>
      <x:c r="Q88" s="51" t="str">
        <x:v>Pending</x:v>
      </x:c>
      <x:c r="R88" s="51" t="str">
        <x:v>Candidate for direct citation when article itself is the original reporting.</x:v>
      </x:c>
    </x:row>
    <x:row r="89">
      <x:c r="A89" s="51" t="str">
        <x:v>SRC-085</x:v>
      </x:c>
      <x:c r="B89" s="51" t="str">
        <x:v>TheStreet</x:v>
      </x:c>
      <x:c r="C89" s="51" t="str">
        <x:v>thestreet.com</x:v>
      </x:c>
      <x:c r="D89" s="51" t="str">
        <x:v>Uploaded list</x:v>
      </x:c>
      <x:c r="E89" s="51" t="str">
        <x:v>Review / low-signal</x:v>
      </x:c>
      <x:c r="F89" s="51" t="str">
        <x:v>No</x:v>
      </x:c>
      <x:c r="G89" s="51" t="str">
        <x:v>Conditional</x:v>
      </x:c>
      <x:c r="H89" s="51" t="str">
        <x:v>Varies</x:v>
      </x:c>
      <x:c r="I89" s="51" t="str">
        <x:v>Unknown / verify</x:v>
      </x:c>
      <x:c r="J89" s="51" t="str">
        <x:v>Not listed</x:v>
      </x:c>
      <x:c r="K89" s="51" t="str">
        <x:v>Tier 3</x:v>
      </x:c>
      <x:c r="L89" s="51" t="str">
        <x:v>Low</x:v>
      </x:c>
      <x:c r="M89" s="51" t="str">
        <x:v>General / AI</x:v>
      </x:c>
      <x:c r="N89" s="51" t="str">
        <x:v>P3</x:v>
      </x:c>
      <x:c r="O89" s="51" t="str">
        <x:v>Unknown / verify</x:v>
      </x:c>
      <x:c r="P89" s="51" t="str">
        <x:v>No</x:v>
      </x:c>
      <x:c r="Q89" s="51" t="str">
        <x:v>Pending</x:v>
      </x:c>
      <x:c r="R89" s="51" t="str">
        <x:v>Legitimate legacy brand but thinned-out editorial quality | Keep disabled until manually reviewed against current source criteria.</x:v>
      </x:c>
    </x:row>
    <x:row r="90">
      <x:c r="A90" s="51" t="str">
        <x:v>SRC-086</x:v>
      </x:c>
      <x:c r="B90" s="51" t="str">
        <x:v>ThursdAI</x:v>
      </x:c>
      <x:c r="C90" s="51" t="str">
        <x:v>thursdai.news</x:v>
      </x:c>
      <x:c r="D90" s="51" t="str">
        <x:v>Uploaded list</x:v>
      </x:c>
      <x:c r="E90" s="51" t="str">
        <x:v>Discovery-only</x:v>
      </x:c>
      <x:c r="F90" s="51" t="str">
        <x:v>Yes</x:v>
      </x:c>
      <x:c r="G90" s="51" t="str">
        <x:v>No</x:v>
      </x:c>
      <x:c r="H90" s="51" t="str">
        <x:v>Lead generation</x:v>
      </x:c>
      <x:c r="I90" s="51" t="str">
        <x:v>Unknown / verify</x:v>
      </x:c>
      <x:c r="J90" s="51" t="str"/>
      <x:c r="K90" s="51" t="str"/>
      <x:c r="L90" s="51" t="str">
        <x:v>High</x:v>
      </x:c>
      <x:c r="M90" s="51" t="str">
        <x:v>General / AI</x:v>
      </x:c>
      <x:c r="N90" s="51" t="str">
        <x:v>P1</x:v>
      </x:c>
      <x:c r="O90" s="51" t="str">
        <x:v>Unknown / verify</x:v>
      </x:c>
      <x:c r="P90" s="51" t="str">
        <x:v>Yes</x:v>
      </x:c>
      <x:c r="Q90" s="51" t="str">
        <x:v>Pending</x:v>
      </x:c>
      <x:c r="R90" s="51" t="str">
        <x:v>Use to discover leads; resolve to primary source/original reporting before review.</x:v>
      </x:c>
    </x:row>
    <x:row r="91">
      <x:c r="A91" s="51" t="str">
        <x:v>SRC-087</x:v>
      </x:c>
      <x:c r="B91" s="51" t="str">
        <x:v>TLDR AI</x:v>
      </x:c>
      <x:c r="C91" s="51" t="str"/>
      <x:c r="D91" s="51" t="str">
        <x:v>Uploaded list</x:v>
      </x:c>
      <x:c r="E91" s="51" t="str">
        <x:v>Discovery-only</x:v>
      </x:c>
      <x:c r="F91" s="51" t="str">
        <x:v>Yes</x:v>
      </x:c>
      <x:c r="G91" s="51" t="str">
        <x:v>No</x:v>
      </x:c>
      <x:c r="H91" s="51" t="str">
        <x:v>Lead generation</x:v>
      </x:c>
      <x:c r="I91" s="51" t="str">
        <x:v>Unknown / verify</x:v>
      </x:c>
      <x:c r="J91" s="51" t="str"/>
      <x:c r="K91" s="51" t="str"/>
      <x:c r="L91" s="51" t="str">
        <x:v>High</x:v>
      </x:c>
      <x:c r="M91" s="51" t="str">
        <x:v>General / AI</x:v>
      </x:c>
      <x:c r="N91" s="51" t="str">
        <x:v>P1</x:v>
      </x:c>
      <x:c r="O91" s="51" t="str">
        <x:v>Unknown / verify</x:v>
      </x:c>
      <x:c r="P91" s="51" t="str">
        <x:v>Yes</x:v>
      </x:c>
      <x:c r="Q91" s="51" t="str">
        <x:v>Pending</x:v>
      </x:c>
      <x:c r="R91" s="51" t="str">
        <x:v>Use to discover leads; resolve to primary source/original reporting before review.</x:v>
      </x:c>
    </x:row>
    <x:row r="92">
      <x:c r="A92" s="51" t="str">
        <x:v>SRC-088</x:v>
      </x:c>
      <x:c r="B92" s="51" t="str">
        <x:v>Tom's Hardware</x:v>
      </x:c>
      <x:c r="C92" s="51" t="str">
        <x:v>tomshardware.com</x:v>
      </x:c>
      <x:c r="D92" s="51" t="str">
        <x:v>Uploaded list</x:v>
      </x:c>
      <x:c r="E92" s="51" t="str">
        <x:v>Original journalism</x:v>
      </x:c>
      <x:c r="F92" s="51" t="str">
        <x:v>Yes</x:v>
      </x:c>
      <x:c r="G92" s="51" t="str">
        <x:v>Yes</x:v>
      </x:c>
      <x:c r="H92" s="51" t="str">
        <x:v>Original reporting likely</x:v>
      </x:c>
      <x:c r="I92" s="51" t="str">
        <x:v>Unknown / verify</x:v>
      </x:c>
      <x:c r="J92" s="51" t="str"/>
      <x:c r="K92" s="51" t="str"/>
      <x:c r="L92" s="51" t="str">
        <x:v>High</x:v>
      </x:c>
      <x:c r="M92" s="51" t="str">
        <x:v>General / AI</x:v>
      </x:c>
      <x:c r="N92" s="51" t="str">
        <x:v>P1</x:v>
      </x:c>
      <x:c r="O92" s="51" t="str">
        <x:v>Unknown / verify</x:v>
      </x:c>
      <x:c r="P92" s="51" t="str">
        <x:v>Yes</x:v>
      </x:c>
      <x:c r="Q92" s="51" t="str">
        <x:v>Pending</x:v>
      </x:c>
      <x:c r="R92" s="51" t="str">
        <x:v>Candidate for direct citation when article itself is the original reporting.</x:v>
      </x:c>
    </x:row>
    <x:row r="93">
      <x:c r="A93" s="51" t="str">
        <x:v>SRC-089</x:v>
      </x:c>
      <x:c r="B93" s="51" t="str">
        <x:v>Transparency Coalition</x:v>
      </x:c>
      <x:c r="C93" s="51" t="str">
        <x:v>transparencycoalition.ai</x:v>
      </x:c>
      <x:c r="D93" s="51" t="str">
        <x:v>Uploaded list</x:v>
      </x:c>
      <x:c r="E93" s="51" t="str">
        <x:v>Advocacy / institutional</x:v>
      </x:c>
      <x:c r="F93" s="51" t="str">
        <x:v>Yes</x:v>
      </x:c>
      <x:c r="G93" s="51" t="str">
        <x:v>Conditional</x:v>
      </x:c>
      <x:c r="H93" s="51" t="str">
        <x:v>Self-report/advocacy</x:v>
      </x:c>
      <x:c r="I93" s="51" t="str">
        <x:v>Unknown / verify</x:v>
      </x:c>
      <x:c r="J93" s="51" t="str">
        <x:v>Not listed</x:v>
      </x:c>
      <x:c r="K93" s="51" t="str">
        <x:v>Tier 3</x:v>
      </x:c>
      <x:c r="L93" s="51" t="str">
        <x:v>Medium</x:v>
      </x:c>
      <x:c r="M93" s="51" t="str">
        <x:v>General / AI</x:v>
      </x:c>
      <x:c r="N93" s="51" t="str">
        <x:v>P2</x:v>
      </x:c>
      <x:c r="O93" s="51" t="str">
        <x:v>Unknown / verify</x:v>
      </x:c>
      <x:c r="P93" s="51" t="str">
        <x:v>Yes</x:v>
      </x:c>
      <x:c r="Q93" s="51" t="str">
        <x:v>Pending</x:v>
      </x:c>
      <x:c r="R93" s="51" t="str">
        <x:v>AI-policy advocacy group — useful for legislative tracking but has a stated agenda | Useful for legislative or advocacy activity; label perspective and corroborate claims.</x:v>
      </x:c>
    </x:row>
    <x:row r="94">
      <x:c r="A94" s="51" t="str">
        <x:v>SRC-090</x:v>
      </x:c>
      <x:c r="B94" s="51" t="str">
        <x:v>UN News</x:v>
      </x:c>
      <x:c r="C94" s="51" t="str">
        <x:v>news.un.org</x:v>
      </x:c>
      <x:c r="D94" s="51" t="str">
        <x:v>Uploaded list</x:v>
      </x:c>
      <x:c r="E94" s="51" t="str">
        <x:v>Primary source</x:v>
      </x:c>
      <x:c r="F94" s="51" t="str">
        <x:v>Yes</x:v>
      </x:c>
      <x:c r="G94" s="51" t="str">
        <x:v>Yes</x:v>
      </x:c>
      <x:c r="H94" s="51" t="str">
        <x:v>Primary/self-report</x:v>
      </x:c>
      <x:c r="I94" s="51" t="str">
        <x:v>Unknown / verify</x:v>
      </x:c>
      <x:c r="J94" s="51" t="str">
        <x:v>Pending review</x:v>
      </x:c>
      <x:c r="K94" s="51" t="str">
        <x:v>Tier 2</x:v>
      </x:c>
      <x:c r="L94" s="51" t="str">
        <x:v>High</x:v>
      </x:c>
      <x:c r="M94" s="51" t="str">
        <x:v>Governance</x:v>
      </x:c>
      <x:c r="N94" s="51" t="str">
        <x:v>P1</x:v>
      </x:c>
      <x:c r="O94" s="51" t="str">
        <x:v>Unknown / verify</x:v>
      </x:c>
      <x:c r="P94" s="51" t="str">
        <x:v>Yes</x:v>
      </x:c>
      <x:c r="Q94" s="51" t="str">
        <x:v>Pending</x:v>
      </x:c>
      <x:c r="R94" s="51" t="str">
        <x:v>Reliable but institutional/self-interested framing | Strong candidate for direct monitoring; broader claims may still need corroboration.</x:v>
      </x:c>
    </x:row>
    <x:row r="95">
      <x:c r="A95" s="51" t="str">
        <x:v>SRC-091</x:v>
      </x:c>
      <x:c r="B95" s="51" t="str">
        <x:v>VentureBeat</x:v>
      </x:c>
      <x:c r="C95" s="51" t="str">
        <x:v>venturebeat.com</x:v>
      </x:c>
      <x:c r="D95" s="51" t="str">
        <x:v>Uploaded list</x:v>
      </x:c>
      <x:c r="E95" s="51" t="str">
        <x:v>Original journalism</x:v>
      </x:c>
      <x:c r="F95" s="51" t="str">
        <x:v>Yes</x:v>
      </x:c>
      <x:c r="G95" s="51" t="str">
        <x:v>Yes</x:v>
      </x:c>
      <x:c r="H95" s="51" t="str">
        <x:v>Original reporting likely</x:v>
      </x:c>
      <x:c r="I95" s="51" t="str">
        <x:v>Unknown / verify</x:v>
      </x:c>
      <x:c r="J95" s="51" t="str"/>
      <x:c r="K95" s="51" t="str"/>
      <x:c r="L95" s="51" t="str">
        <x:v>High</x:v>
      </x:c>
      <x:c r="M95" s="51" t="str">
        <x:v>General / AI</x:v>
      </x:c>
      <x:c r="N95" s="51" t="str">
        <x:v>P1</x:v>
      </x:c>
      <x:c r="O95" s="51" t="str">
        <x:v>Unknown / verify</x:v>
      </x:c>
      <x:c r="P95" s="51" t="str">
        <x:v>Yes</x:v>
      </x:c>
      <x:c r="Q95" s="51" t="str">
        <x:v>Pending</x:v>
      </x:c>
      <x:c r="R95" s="51" t="str">
        <x:v>Candidate for direct citation when article itself is the original reporting.</x:v>
      </x:c>
    </x:row>
    <x:row r="96">
      <x:c r="A96" s="51" t="str">
        <x:v>SRC-092</x:v>
      </x:c>
      <x:c r="B96" s="51" t="str">
        <x:v>Wikipedia</x:v>
      </x:c>
      <x:c r="C96" s="51" t="str">
        <x:v>en.wikipedia.org</x:v>
      </x:c>
      <x:c r="D96" s="51" t="str">
        <x:v>Uploaded list</x:v>
      </x:c>
      <x:c r="E96" s="51" t="str">
        <x:v>Exclude / background</x:v>
      </x:c>
      <x:c r="F96" s="51" t="str">
        <x:v>No</x:v>
      </x:c>
      <x:c r="G96" s="51" t="str">
        <x:v>No</x:v>
      </x:c>
      <x:c r="H96" s="51" t="str">
        <x:v>Background/aggregation</x:v>
      </x:c>
      <x:c r="I96" s="51" t="str">
        <x:v>Unknown / verify</x:v>
      </x:c>
      <x:c r="J96" s="51" t="str">
        <x:v>Not listed</x:v>
      </x:c>
      <x:c r="K96" s="51" t="str">
        <x:v>Tier 3</x:v>
      </x:c>
      <x:c r="L96" s="51" t="str">
        <x:v>High</x:v>
      </x:c>
      <x:c r="M96" s="51" t="str">
        <x:v>General / AI</x:v>
      </x:c>
      <x:c r="N96" s="51" t="str">
        <x:v>P3</x:v>
      </x:c>
      <x:c r="O96" s="51" t="str">
        <x:v>Unknown / verify</x:v>
      </x:c>
      <x:c r="P96" s="51" t="str">
        <x:v>No</x:v>
      </x:c>
      <x:c r="Q96" s="51" t="str">
        <x:v>Pending</x:v>
      </x:c>
      <x:c r="R96" s="51" t="str">
        <x:v>Crowd-edited; fine for background, not a news citation | Do not use as final news citation; retain only for background or lead discovery if later enabled.</x:v>
      </x:c>
    </x:row>
    <x:row r="97">
      <x:c r="A97" s="51" t="str">
        <x:v>SRC-093</x:v>
      </x:c>
      <x:c r="B97" s="51" t="str">
        <x:v>WIRED</x:v>
      </x:c>
      <x:c r="C97" s="51" t="str">
        <x:v>wired.com</x:v>
      </x:c>
      <x:c r="D97" s="51" t="str">
        <x:v>Uploaded list</x:v>
      </x:c>
      <x:c r="E97" s="51" t="str">
        <x:v>Original journalism</x:v>
      </x:c>
      <x:c r="F97" s="51" t="str">
        <x:v>Yes</x:v>
      </x:c>
      <x:c r="G97" s="51" t="str">
        <x:v>Yes</x:v>
      </x:c>
      <x:c r="H97" s="51" t="str">
        <x:v>Original reporting likely</x:v>
      </x:c>
      <x:c r="I97" s="51" t="str">
        <x:v>Unknown / verify</x:v>
      </x:c>
      <x:c r="J97" s="51" t="str"/>
      <x:c r="K97" s="51" t="str"/>
      <x:c r="L97" s="51" t="str">
        <x:v>High</x:v>
      </x:c>
      <x:c r="M97" s="51" t="str">
        <x:v>General / AI</x:v>
      </x:c>
      <x:c r="N97" s="51" t="str">
        <x:v>P1</x:v>
      </x:c>
      <x:c r="O97" s="51" t="str">
        <x:v>Unknown / verify</x:v>
      </x:c>
      <x:c r="P97" s="51" t="str">
        <x:v>Yes</x:v>
      </x:c>
      <x:c r="Q97" s="51" t="str">
        <x:v>Pending</x:v>
      </x:c>
      <x:c r="R97" s="51" t="str">
        <x:v>Candidate for direct citation when article itself is the original reporting.</x:v>
      </x:c>
    </x:row>
    <x:row r="98">
      <x:c r="A98" s="51" t="str">
        <x:v>SRC-094</x:v>
      </x:c>
      <x:c r="B98" s="51" t="str">
        <x:v>WTTW Chicago</x:v>
      </x:c>
      <x:c r="C98" s="51" t="str">
        <x:v>news.wttw.com</x:v>
      </x:c>
      <x:c r="D98" s="51" t="str">
        <x:v>Uploaded list</x:v>
      </x:c>
      <x:c r="E98" s="51" t="str">
        <x:v>Original journalism</x:v>
      </x:c>
      <x:c r="F98" s="51" t="str">
        <x:v>Yes</x:v>
      </x:c>
      <x:c r="G98" s="51" t="str">
        <x:v>Yes</x:v>
      </x:c>
      <x:c r="H98" s="51" t="str">
        <x:v>Original reporting likely</x:v>
      </x:c>
      <x:c r="I98" s="51" t="str">
        <x:v>Unknown / verify</x:v>
      </x:c>
      <x:c r="J98" s="51" t="str">
        <x:v>Approved</x:v>
      </x:c>
      <x:c r="K98" s="51" t="str">
        <x:v>Tier 1</x:v>
      </x:c>
      <x:c r="L98" s="51" t="str">
        <x:v>High</x:v>
      </x:c>
      <x:c r="M98" s="51" t="str">
        <x:v>General / AI</x:v>
      </x:c>
      <x:c r="N98" s="51" t="str">
        <x:v>P1</x:v>
      </x:c>
      <x:c r="O98" s="51" t="str">
        <x:v>Unknown / verify</x:v>
      </x:c>
      <x:c r="P98" s="51" t="str">
        <x:v>Yes</x:v>
      </x:c>
      <x:c r="Q98" s="51" t="str">
        <x:v>Pending</x:v>
      </x:c>
      <x:c r="R98" s="51" t="str">
        <x:v>PBS-affiliated Chicago public broadcaster | Candidate for direct citation when article itself is the original reporting.</x:v>
      </x:c>
    </x:row>
    <x:row r="99">
      <x:c r="A99" s="51" t="str">
        <x:v>SRC-095</x:v>
      </x:c>
      <x:c r="B99" s="51" t="str">
        <x:v>xAI</x:v>
      </x:c>
      <x:c r="C99" s="51" t="str">
        <x:v>x.ai</x:v>
      </x:c>
      <x:c r="D99" s="51" t="str">
        <x:v>Uploaded list</x:v>
      </x:c>
      <x:c r="E99" s="51" t="str">
        <x:v>Primary source</x:v>
      </x:c>
      <x:c r="F99" s="51" t="str">
        <x:v>Yes</x:v>
      </x:c>
      <x:c r="G99" s="51" t="str">
        <x:v>Yes</x:v>
      </x:c>
      <x:c r="H99" s="51" t="str">
        <x:v>Primary/self-report</x:v>
      </x:c>
      <x:c r="I99" s="51" t="str">
        <x:v>Unknown / verify</x:v>
      </x:c>
      <x:c r="J99" s="51" t="str"/>
      <x:c r="K99" s="51" t="str"/>
      <x:c r="L99" s="51" t="str">
        <x:v>High</x:v>
      </x:c>
      <x:c r="M99" s="51" t="str">
        <x:v>Models</x:v>
      </x:c>
      <x:c r="N99" s="51" t="str">
        <x:v>P1</x:v>
      </x:c>
      <x:c r="O99" s="51" t="str">
        <x:v>Unknown / verify</x:v>
      </x:c>
      <x:c r="P99" s="51" t="str">
        <x:v>Yes</x:v>
      </x:c>
      <x:c r="Q99" s="51" t="str">
        <x:v>Pending</x:v>
      </x:c>
      <x:c r="R99" s="51" t="str">
        <x:v>Strong candidate for direct monitoring; broader claims may still need corroboration.</x:v>
      </x:c>
    </x:row>
    <x:row r="100">
      <x:c r="A100" s="51" t="str">
        <x:v>SRC-096</x:v>
      </x:c>
      <x:c r="B100" s="51" t="str">
        <x:v>ZDNET</x:v>
      </x:c>
      <x:c r="C100" s="51" t="str">
        <x:v>zdnet.com</x:v>
      </x:c>
      <x:c r="D100" s="51" t="str">
        <x:v>Uploaded list</x:v>
      </x:c>
      <x:c r="E100" s="51" t="str">
        <x:v>Original journalism</x:v>
      </x:c>
      <x:c r="F100" s="51" t="str">
        <x:v>Yes</x:v>
      </x:c>
      <x:c r="G100" s="51" t="str">
        <x:v>Yes</x:v>
      </x:c>
      <x:c r="H100" s="51" t="str">
        <x:v>Original reporting likely</x:v>
      </x:c>
      <x:c r="I100" s="51" t="str">
        <x:v>Unknown / verify</x:v>
      </x:c>
      <x:c r="J100" s="51" t="str"/>
      <x:c r="K100" s="51" t="str"/>
      <x:c r="L100" s="51" t="str">
        <x:v>High</x:v>
      </x:c>
      <x:c r="M100" s="51" t="str">
        <x:v>General / AI</x:v>
      </x:c>
      <x:c r="N100" s="51" t="str">
        <x:v>P1</x:v>
      </x:c>
      <x:c r="O100" s="51" t="str">
        <x:v>Unknown / verify</x:v>
      </x:c>
      <x:c r="P100" s="51" t="str">
        <x:v>Yes</x:v>
      </x:c>
      <x:c r="Q100" s="51" t="str">
        <x:v>Pending</x:v>
      </x:c>
      <x:c r="R100" s="51" t="str">
        <x:v>Candidate for direct citation when article itself is the original reporting.</x:v>
      </x:c>
    </x:row>
    <x:row r="101">
      <x:c r="A101" s="51" t="str">
        <x:v>SRC-097</x:v>
      </x:c>
      <x:c r="B101" s="51" t="str">
        <x:v>ZoneTechify</x:v>
      </x:c>
      <x:c r="C101" s="51" t="str">
        <x:v>zonetechify.com</x:v>
      </x:c>
      <x:c r="D101" s="51" t="str">
        <x:v>Uploaded list</x:v>
      </x:c>
      <x:c r="E101" s="51" t="str">
        <x:v>Exclude / background</x:v>
      </x:c>
      <x:c r="F101" s="51" t="str">
        <x:v>No</x:v>
      </x:c>
      <x:c r="G101" s="51" t="str">
        <x:v>No</x:v>
      </x:c>
      <x:c r="H101" s="51" t="str">
        <x:v>Background/aggregation</x:v>
      </x:c>
      <x:c r="I101" s="51" t="str">
        <x:v>Unknown / verify</x:v>
      </x:c>
      <x:c r="J101" s="51" t="str">
        <x:v>Not listed</x:v>
      </x:c>
      <x:c r="K101" s="51" t="str">
        <x:v>Tier 3</x:v>
      </x:c>
      <x:c r="L101" s="51" t="str">
        <x:v>High</x:v>
      </x:c>
      <x:c r="M101" s="51" t="str">
        <x:v>General / AI</x:v>
      </x:c>
      <x:c r="N101" s="51" t="str">
        <x:v>P3</x:v>
      </x:c>
      <x:c r="O101" s="51" t="str">
        <x:v>Unknown / verify</x:v>
      </x:c>
      <x:c r="P101" s="51" t="str">
        <x:v>No</x:v>
      </x:c>
      <x:c r="Q101" s="51" t="str">
        <x:v>Pending</x:v>
      </x:c>
      <x:c r="R101" s="51" t="str">
        <x:v>Low-recognition SEO content site | Do not use as final news citation; retain only for background or lead discovery if later enabled.</x:v>
      </x:c>
    </x:row>
  </x:sheetData>
  <x:mergeCells>
    <x:mergeCell ref="A1:R1"/>
    <x:mergeCell ref="A2:R2"/>
  </x:mergeCells>
  <x:conditionalFormatting sqref="Q5:Q101">
    <x:cfRule type="expression" dxfId="0" priority="1">
      <x:formula>Q5="Approved"</x:formula>
    </x:cfRule>
    <x:cfRule type="expression" dxfId="1" priority="2">
      <x:formula>Q5="Excluded"</x:formula>
    </x:cfRule>
  </x:conditionalFormatting>
  <x:conditionalFormatting sqref="E5:E101">
    <x:cfRule type="expression" dxfId="2" priority="3">
      <x:formula>E5="Discovery-only"</x:formula>
    </x:cfRule>
  </x:conditionalFormatting>
  <x:dataValidations count="7">
    <x:dataValidation type="list" sqref="E5:E101">
      <x:formula1>"Primary source,Original journalism,Specialist trade / regional,Discovery-only,Research / analysis,Vendor / self-report,Advocacy / institutional,Utility / tooling,Review / low-signal,Exclude / background,Review required"</x:formula1>
    </x:dataValidation>
    <x:dataValidation type="list" sqref="F5:F101">
      <x:formula1>"Yes,No"</x:formula1>
    </x:dataValidation>
    <x:dataValidation type="list" sqref="G5:G101">
      <x:formula1>"Yes,No,Conditional"</x:formula1>
    </x:dataValidation>
    <x:dataValidation type="list" sqref="L5:L101">
      <x:formula1>"High,Medium,Low"</x:formula1>
    </x:dataValidation>
    <x:dataValidation type="list" sqref="N5:N101">
      <x:formula1>"P0,P1,P2,P3"</x:formula1>
    </x:dataValidation>
    <x:dataValidation type="list" sqref="P5:P101">
      <x:formula1>"Yes,No"</x:formula1>
    </x:dataValidation>
    <x:dataValidation type="list" sqref="Q5:Q101">
      <x:formula1>"Pending,Approved,Excluded,Watch,Needs URL verification"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5" hidden="0" customWidth="1"/>
    <x:col min="3" max="3" width="42" hidden="0" customWidth="1"/>
    <x:col min="4" max="4" width="24" hidden="0" customWidth="1"/>
    <x:col min="5" max="5" width="42" hidden="0" customWidth="1"/>
    <x:col min="6" max="6" width="28" hidden="0" customWidth="1"/>
  </x:cols>
  <x:sheetData>
    <x:row r="1">
      <x:c r="A1" s="31" t="str">
        <x:v>AINWA Discovery &amp; Citation Policy — Draft</x:v>
      </x:c>
      <x:c r="B1" s="31"/>
      <x:c r="C1" s="31"/>
      <x:c r="D1" s="31"/>
      <x:c r="E1" s="31"/>
      <x:c r="F1" s="31"/>
    </x:row>
    <x:row r="3">
      <x:c r="A3" s="45" t="str">
        <x:v>Area</x:v>
      </x:c>
      <x:c r="B3" s="45" t="str">
        <x:v>Rule</x:v>
      </x:c>
      <x:c r="C3" s="45" t="str">
        <x:v>Why it exists</x:v>
      </x:c>
      <x:c r="D3" s="45" t="str">
        <x:v>Human decision?</x:v>
      </x:c>
      <x:c r="E3" s="45" t="str">
        <x:v>Machine action</x:v>
      </x:c>
      <x:c r="F3" s="45" t="str">
        <x:v>Project impact</x:v>
      </x:c>
    </x:row>
    <x:row r="4">
      <x:c r="A4" s="51" t="str">
        <x:v>Discovery order</x:v>
      </x:c>
      <x:c r="B4" s="51" t="str">
        <x:v>Start with cheap, configured discovery inputs before open-web/LLM exploration.</x:v>
      </x:c>
      <x:c r="C4" s="51" t="str">
        <x:v>Controls Claude/token cost and increases repeatability.</x:v>
      </x:c>
      <x:c r="D4" s="51" t="str">
        <x:v>Policy approved by human.</x:v>
      </x:c>
      <x:c r="E4" s="51" t="str">
        <x:v>Poll feeds/pages; normalize; dedupe before AI.</x:v>
      </x:c>
      <x:c r="F4" s="51" t="str">
        <x:v>AINWA sourcing</x:v>
      </x:c>
    </x:row>
    <x:row r="5">
      <x:c r="A5" s="51" t="str">
        <x:v>RSS / feeds</x:v>
      </x:c>
      <x:c r="B5" s="51" t="str">
        <x:v>RSS is allowed as an INPUT transport where available; AInetWatch does not need to publish an RSS feed.</x:v>
      </x:c>
      <x:c r="C5" s="51" t="str">
        <x:v>Structured, low-cost discovery without reader-facing feature creep.</x:v>
      </x:c>
      <x:c r="D5" s="51" t="str">
        <x:v>Yes — approve source/feed.</x:v>
      </x:c>
      <x:c r="E5" s="51" t="str">
        <x:v>Poll configured feeds and retain source URL.</x:v>
      </x:c>
      <x:c r="F5" s="51" t="str">
        <x:v>Reconcile old RSS-001 / ARCH-002 wording</x:v>
      </x:c>
    </x:row>
    <x:row r="6">
      <x:c r="A6" s="51" t="str">
        <x:v>Discovery-only sources</x:v>
      </x:c>
      <x:c r="B6" s="51" t="str">
        <x:v>Aggregators/newsletters may surface leads but are not final citations.</x:v>
      </x:c>
      <x:c r="C6" s="51" t="str">
        <x:v>Breadth without laundering aggregation into authority.</x:v>
      </x:c>
      <x:c r="D6" s="51" t="str">
        <x:v>Yes — source role can be changed.</x:v>
      </x:c>
      <x:c r="E6" s="51" t="str">
        <x:v>Resolve lead to primary source or original reporting.</x:v>
      </x:c>
      <x:c r="F6" s="51" t="str">
        <x:v>Source registry</x:v>
      </x:c>
    </x:row>
    <x:row r="7">
      <x:c r="A7" s="51" t="str">
        <x:v>Primary sources</x:v>
      </x:c>
      <x:c r="B7" s="51" t="str">
        <x:v>Direct lab/company/government/research announcements are eligible when they are authoritative for their own action or research.</x:v>
      </x:c>
      <x:c r="C7" s="51" t="str">
        <x:v>Best provenance for releases, filings, policy, research.</x:v>
      </x:c>
      <x:c r="D7" s="51" t="str">
        <x:v>Article-level approval still required.</x:v>
      </x:c>
      <x:c r="E7" s="51" t="str">
        <x:v>Prefer direct URL; flag self-report scope.</x:v>
      </x:c>
      <x:c r="F7" s="51" t="str">
        <x:v>AINWA source analysis</x:v>
      </x:c>
    </x:row>
    <x:row r="8">
      <x:c r="A8" s="51" t="str">
        <x:v>Original journalism</x:v>
      </x:c>
      <x:c r="B8" s="51" t="str">
        <x:v>Original reporting is citation eligible when the article itself contains reporting rather than syndication/aggregation.</x:v>
      </x:c>
      <x:c r="C8" s="51" t="str">
        <x:v>Preserves AInetWatch's original-source principle.</x:v>
      </x:c>
      <x:c r="D8" s="51" t="str">
        <x:v>Human approves story/source.</x:v>
      </x:c>
      <x:c r="E8" s="51" t="str">
        <x:v>Detect likely syndication and resolve if needed.</x:v>
      </x:c>
      <x:c r="F8" s="51" t="str">
        <x:v>AINWA review</x:v>
      </x:c>
    </x:row>
    <x:row r="9">
      <x:c r="A9" s="51" t="str">
        <x:v>Paywalls</x:v>
      </x:c>
      <x:c r="B9" s="51" t="str">
        <x:v>Paywall status does not exclude a source from discovery. Prefer accessible original reporting when available; if inaccessible, seek a primary source or credible public alternative.</x:v>
      </x:c>
      <x:c r="C9" s="51" t="str">
        <x:v>Preserves quality while keeping reader click-through useful.</x:v>
      </x:c>
      <x:c r="D9" s="51" t="str">
        <x:v>Human may approve a paywalled source/story.</x:v>
      </x:c>
      <x:c r="E9" s="51" t="str">
        <x:v>Tag access class and search for accessible alternative only when needed.</x:v>
      </x:c>
      <x:c r="F9" s="51" t="str">
        <x:v>Review UX / source registry</x:v>
      </x:c>
    </x:row>
    <x:row r="10">
      <x:c r="A10" s="51" t="str">
        <x:v>Vendor / advocacy</x:v>
      </x:c>
      <x:c r="B10" s="51" t="str">
        <x:v>May be authoritative for its own research, announcement, filing, or position; broader claims should be corroborated when practical.</x:v>
      </x:c>
      <x:c r="C10" s="51" t="str">
        <x:v>Separates provenance from independence.</x:v>
      </x:c>
      <x:c r="D10" s="51" t="str">
        <x:v>Human decides article-level suitability.</x:v>
      </x:c>
      <x:c r="E10" s="51" t="str">
        <x:v>Tag self-report/advocacy and request corroboration as needed.</x:v>
      </x:c>
      <x:c r="F10" s="51" t="str">
        <x:v>Source intelligence</x:v>
      </x:c>
    </x:row>
    <x:row r="11">
      <x:c r="A11" s="51" t="str">
        <x:v>Exclusions</x:v>
      </x:c>
      <x:c r="B11" s="51" t="str">
        <x:v>Discovery tools, background references, social/community sources, and low-signal aggregation are not final news citations.</x:v>
      </x:c>
      <x:c r="C11" s="51" t="str">
        <x:v>Avoids weak sourcing.</x:v>
      </x:c>
      <x:c r="D11" s="51" t="str">
        <x:v>Human can override registry status.</x:v>
      </x:c>
      <x:c r="E11" s="51" t="str">
        <x:v>Do not promote to approval queue as final source.</x:v>
      </x:c>
      <x:c r="F11" s="51" t="str">
        <x:v>Source registry</x:v>
      </x:c>
    </x:row>
    <x:row r="12">
      <x:c r="A12" s="51" t="str">
        <x:v>Claude invocation</x:v>
      </x:c>
      <x:c r="B12" s="51" t="str">
        <x:v>Use deterministic parsing/filtering/deduplication first. Invoke Claude only on candidates that survive cheap filters.</x:v>
      </x:c>
      <x:c r="C12" s="51" t="str">
        <x:v>Prevents token burn across the open web.</x:v>
      </x:c>
      <x:c r="D12" s="51" t="str">
        <x:v>Thresholds are human-configured.</x:v>
      </x:c>
      <x:c r="E12" s="51" t="str">
        <x:v>Score/process only reduced candidate set.</x:v>
      </x:c>
      <x:c r="F12" s="51" t="str">
        <x:v>AINWA architecture</x:v>
      </x:c>
    </x:row>
    <x:row r="13">
      <x:c r="A13" s="51" t="str">
        <x:v>Registry changes</x:v>
      </x:c>
      <x:c r="B13" s="51" t="str">
        <x:v>AINWA may recommend promoting, demoting, disabling, or excluding a source based on approval history; it must not silently change source policy.</x:v>
      </x:c>
      <x:c r="C13" s="51" t="str">
        <x:v>Keeps system adaptive without surrendering editorial control.</x:v>
      </x:c>
      <x:c r="D13" s="51" t="str">
        <x:v>Yes — explicit approval required.</x:v>
      </x:c>
      <x:c r="E13" s="51" t="str">
        <x:v>Log suggestion and evidence; apply only after approval.</x:v>
      </x:c>
      <x:c r="F13" s="51" t="str">
        <x:v>Human review</x:v>
      </x:c>
    </x:row>
    <x:row r="14">
      <x:c r="A14" s="51" t="str">
        <x:v>Publication boundary</x:v>
      </x:c>
      <x:c r="B14" s="51" t="str">
        <x:v>No candidate becomes public without explicit human approval. Approved editorial fields are authoritative after approval.</x:v>
      </x:c>
      <x:c r="C14" s="51" t="str">
        <x:v>Core editorial-control principle.</x:v>
      </x:c>
      <x:c r="D14" s="51" t="str">
        <x:v>Always.</x:v>
      </x:c>
      <x:c r="E14" s="51" t="str">
        <x:v>Write approved record; deterministic static build.</x:v>
      </x:c>
      <x:c r="F14" s="51" t="str">
        <x:v>AINWA / publishing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24" hidden="0" customWidth="1"/>
    <x:col min="4" max="4" width="38" hidden="0" customWidth="1"/>
    <x:col min="5" max="5" width="30" hidden="0" customWidth="1"/>
    <x:col min="6" max="6" width="32" hidden="0" customWidth="1"/>
    <x:col min="7" max="7" width="42" hidden="0" customWidth="1"/>
  </x:cols>
  <x:sheetData>
    <x:row r="1">
      <x:c r="A1" s="31" t="str">
        <x:v>AINWA v1 Workflow — Sourcing → Approval → Publishing</x:v>
      </x:c>
      <x:c r="B1" s="31"/>
      <x:c r="C1" s="31"/>
      <x:c r="D1" s="31"/>
      <x:c r="E1" s="31"/>
      <x:c r="F1" s="31"/>
      <x:c r="G1" s="31"/>
    </x:row>
    <x:row r="3">
      <x:c r="A3" s="45" t="str">
        <x:v>Stage</x:v>
      </x:c>
      <x:c r="B3" s="45" t="str">
        <x:v>Purpose</x:v>
      </x:c>
      <x:c r="C3" s="45" t="str">
        <x:v>Cheap/Deterministic First?</x:v>
      </x:c>
      <x:c r="D3" s="45" t="str">
        <x:v>Claude / AI Role</x:v>
      </x:c>
      <x:c r="E3" s="45" t="str">
        <x:v>Human Gate</x:v>
      </x:c>
      <x:c r="F3" s="45" t="str">
        <x:v>Primary Data</x:v>
      </x:c>
      <x:c r="G3" s="45" t="str">
        <x:v>Notes</x:v>
      </x:c>
    </x:row>
    <x:row r="4">
      <x:c r="A4" s="51" t="str">
        <x:v>1. Source Registry</x:v>
      </x:c>
      <x:c r="B4" s="51" t="str">
        <x:v>Define which sources/mechanisms AINWA may monitor and how each may be used.</x:v>
      </x:c>
      <x:c r="C4" s="51" t="str">
        <x:v>Yes</x:v>
      </x:c>
      <x:c r="D4" s="51" t="str">
        <x:v>None required for normal reads.</x:v>
      </x:c>
      <x:c r="E4" s="51" t="str">
        <x:v>Approve registry/policy changes.</x:v>
      </x:c>
      <x:c r="F4" s="51" t="str">
        <x:v>source-registry.yaml/json generated from approved control data</x:v>
      </x:c>
      <x:c r="G4" s="51" t="str">
        <x:v>Workbook is admin/design surface, not browser runtime dependency.</x:v>
      </x:c>
    </x:row>
    <x:row r="5">
      <x:c r="A5" s="51" t="str">
        <x:v>2. Discovery</x:v>
      </x:c>
      <x:c r="B5" s="51" t="str">
        <x:v>Collect candidate links/headlines from RSS, feeds, configured sites, discovery-only competitors, and selective search.</x:v>
      </x:c>
      <x:c r="C5" s="51" t="str">
        <x:v>Yes</x:v>
      </x:c>
      <x:c r="D5" s="51" t="str">
        <x:v>Only for hard-to-parse or broad discovery gaps.</x:v>
      </x:c>
      <x:c r="E5" s="51" t="str">
        <x:v>No per-item gate yet.</x:v>
      </x:c>
      <x:c r="F5" s="51" t="str">
        <x:v>candidate intake</x:v>
      </x:c>
      <x:c r="G5" s="51" t="str">
        <x:v>Optimize for coverage, not volume.</x:v>
      </x:c>
    </x:row>
    <x:row r="6">
      <x:c r="A6" s="51" t="str">
        <x:v>3. Normalize</x:v>
      </x:c>
      <x:c r="B6" s="51" t="str">
        <x:v>Canonicalize URLs, publishers, timestamps, titles, and access state.</x:v>
      </x:c>
      <x:c r="C6" s="51" t="str">
        <x:v>Yes</x:v>
      </x:c>
      <x:c r="D6" s="51" t="str">
        <x:v>Minimal.</x:v>
      </x:c>
      <x:c r="E6" s="51" t="str">
        <x:v>No.</x:v>
      </x:c>
      <x:c r="F6" s="51" t="str">
        <x:v>candidate record</x:v>
      </x:c>
      <x:c r="G6" s="51" t="str">
        <x:v>Resolve tracking/duplicate URLs.</x:v>
      </x:c>
    </x:row>
    <x:row r="7">
      <x:c r="A7" s="51" t="str">
        <x:v>4. Cheap Filter</x:v>
      </x:c>
      <x:c r="B7" s="51" t="str">
        <x:v>Remove obvious non-AI, stale, duplicate, blocked, or excluded items.</x:v>
      </x:c>
      <x:c r="C7" s="51" t="str">
        <x:v>Yes</x:v>
      </x:c>
      <x:c r="D7" s="51" t="str">
        <x:v>None/minimal.</x:v>
      </x:c>
      <x:c r="E7" s="51" t="str">
        <x:v>No.</x:v>
      </x:c>
      <x:c r="F7" s="51" t="str">
        <x:v>candidate record</x:v>
      </x:c>
      <x:c r="G7" s="51" t="str">
        <x:v>Token-saving stage.</x:v>
      </x:c>
    </x:row>
    <x:row r="8">
      <x:c r="A8" s="51" t="str">
        <x:v>5. Resolve Source</x:v>
      </x:c>
      <x:c r="B8" s="51" t="str">
        <x:v>For discovery-only leads, find primary source or original reporting.</x:v>
      </x:c>
      <x:c r="C8" s="51" t="str">
        <x:v>Mostly</x:v>
      </x:c>
      <x:c r="D8" s="51" t="str">
        <x:v>Use AI/search only when deterministic resolution fails.</x:v>
      </x:c>
      <x:c r="E8" s="51" t="str">
        <x:v>No.</x:v>
      </x:c>
      <x:c r="F8" s="51" t="str">
        <x:v>source + candidate</x:v>
      </x:c>
      <x:c r="G8" s="51" t="str">
        <x:v>Discovery source remains provenance but not final citation.</x:v>
      </x:c>
    </x:row>
    <x:row r="9">
      <x:c r="A9" s="51" t="str">
        <x:v>6. Cluster / Dedupe</x:v>
      </x:c>
      <x:c r="B9" s="51" t="str">
        <x:v>Group same event/story across sources.</x:v>
      </x:c>
      <x:c r="C9" s="51" t="str">
        <x:v>Yes</x:v>
      </x:c>
      <x:c r="D9" s="51" t="str">
        <x:v>Claude assists ambiguous clusters.</x:v>
      </x:c>
      <x:c r="E9" s="51" t="str">
        <x:v>No.</x:v>
      </x:c>
      <x:c r="F9" s="51" t="str">
        <x:v>story group</x:v>
      </x:c>
      <x:c r="G9" s="51" t="str">
        <x:v>Preserve corroborating sources.</x:v>
      </x:c>
    </x:row>
    <x:row r="10">
      <x:c r="A10" s="51" t="str">
        <x:v>7. Editorial Prep</x:v>
      </x:c>
      <x:c r="B10" s="51" t="str">
        <x:v>Propose headline, summary bullets, category, priority, confidence, developing/top-story recommendation, paywall/access tag.</x:v>
      </x:c>
      <x:c r="C10" s="51" t="str">
        <x:v>No</x:v>
      </x:c>
      <x:c r="D10" s="51" t="str">
        <x:v>Primary Claude task.</x:v>
      </x:c>
      <x:c r="E10" s="51" t="str">
        <x:v>No.</x:v>
      </x:c>
      <x:c r="F10" s="51" t="str">
        <x:v>proposal</x:v>
      </x:c>
      <x:c r="G10" s="51" t="str">
        <x:v>AI proposes; does not publish.</x:v>
      </x:c>
    </x:row>
    <x:row r="11">
      <x:c r="A11" s="51" t="str">
        <x:v>8. Human Review</x:v>
      </x:c>
      <x:c r="B11" s="51" t="str">
        <x:v>Show original article/source + proposed headline + summary + classification together.</x:v>
      </x:c>
      <x:c r="C11" s="51" t="str">
        <x:v>N/A</x:v>
      </x:c>
      <x:c r="D11" s="51" t="str">
        <x:v>Advisory only.</x:v>
      </x:c>
      <x:c r="E11" s="51" t="str">
        <x:v>REJECT / SNOOZE / APPROVE AS-IS / EDIT &amp; APPROVE</x:v>
      </x:c>
      <x:c r="F11" s="51" t="str">
        <x:v>review record</x:v>
      </x:c>
      <x:c r="G11" s="51" t="str">
        <x:v>One editorial decision surface.</x:v>
      </x:c>
    </x:row>
    <x:row r="12">
      <x:c r="A12" s="51" t="str">
        <x:v>9. Approved Record</x:v>
      </x:c>
      <x:c r="B12" s="51" t="str">
        <x:v>Freeze human-approved values as authoritative.</x:v>
      </x:c>
      <x:c r="C12" s="51" t="str">
        <x:v>Yes</x:v>
      </x:c>
      <x:c r="D12" s="51" t="str">
        <x:v>Do not regenerate approved fields.</x:v>
      </x:c>
      <x:c r="E12" s="51" t="str">
        <x:v>Approval already occurred.</x:v>
      </x:c>
      <x:c r="F12" s="51" t="str">
        <x:v>approved record</x:v>
      </x:c>
      <x:c r="G12" s="51" t="str">
        <x:v>Machine-readable source for build.</x:v>
      </x:c>
    </x:row>
    <x:row r="13">
      <x:c r="A13" s="51" t="str">
        <x:v>10. Static Build</x:v>
      </x:c>
      <x:c r="B13" s="51" t="str">
        <x:v>Generate homepage/archive/topic/metadata/sitemap and other approved outputs.</x:v>
      </x:c>
      <x:c r="C13" s="51" t="str">
        <x:v>Yes</x:v>
      </x:c>
      <x:c r="D13" s="51" t="str">
        <x:v>No runtime AI.</x:v>
      </x:c>
      <x:c r="E13" s="51" t="str">
        <x:v>No new editorial decision.</x:v>
      </x:c>
      <x:c r="F13" s="51" t="str">
        <x:v>static HTML/data</x:v>
      </x:c>
      <x:c r="G13" s="51" t="str">
        <x:v>Browser never fetches AINWA for primary content.</x:v>
      </x:c>
    </x:row>
    <x:row r="14">
      <x:c r="A14" t="str">
        <x:v>11. Distribution</x:v>
      </x:c>
      <x:c r="B14" t="str">
        <x:v>Search/AI discovery/social outputs derive from approved record.</x:v>
      </x:c>
      <x:c r="C14" t="str">
        <x:v>Mostly</x:v>
      </x:c>
      <x:c r="D14" t="str">
        <x:v>AI may adapt format only within approved facts.</x:v>
      </x:c>
      <x:c r="E14" t="str">
        <x:v>Platform rules may require review.</x:v>
      </x:c>
      <x:c r="F14" t="str">
        <x:v>approved record</x:v>
      </x:c>
      <x:c r="G14" t="str">
        <x:v>No reader-facing RSS requirement.</x:v>
      </x:c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4" hidden="0" customWidth="1"/>
    <x:col min="9" max="9" width="16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</x:cols>
  <x:sheetData>
    <x:row r="1">
      <x:c r="A1" s="31" t="str">
        <x:v>AINWA Source Performance — Structure for Future Automated Metrics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>
      <x:c r="A2" s="37" t="str">
        <x:v>AINWA should populate metrics from candidate/review logs. It may recommend source changes, but registry policy changes require explicit human approval.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</x:row>
    <x:row r="4">
      <x:c r="A4" s="45" t="str">
        <x:v>Source ID</x:v>
      </x:c>
      <x:c r="B4" s="45" t="str">
        <x:v>Source Name</x:v>
      </x:c>
      <x:c r="C4" s="45" t="str">
        <x:v>Candidates</x:v>
      </x:c>
      <x:c r="D4" s="45" t="str">
        <x:v>Approved</x:v>
      </x:c>
      <x:c r="E4" s="45" t="str">
        <x:v>Rejected</x:v>
      </x:c>
      <x:c r="F4" s="45" t="str">
        <x:v>Duplicates</x:v>
      </x:c>
      <x:c r="G4" s="45" t="str">
        <x:v>Snoozed</x:v>
      </x:c>
      <x:c r="H4" s="45" t="str">
        <x:v>Approval Rate</x:v>
      </x:c>
      <x:c r="I4" s="45" t="str">
        <x:v>Unique Story Yield</x:v>
      </x:c>
      <x:c r="J4" s="45" t="str">
        <x:v>Median Priority</x:v>
      </x:c>
      <x:c r="K4" s="45" t="str">
        <x:v>Avg Time to Review</x:v>
      </x:c>
      <x:c r="L4" s="45" t="str">
        <x:v>Last Candidate</x:v>
      </x:c>
      <x:c r="M4" s="45" t="str">
        <x:v>Suggested Action</x:v>
      </x:c>
      <x:c r="N4" s="45" t="str">
        <x:v>Human Decision</x:v>
      </x:c>
    </x:row>
    <x:row r="5">
      <x:c r="A5" t="str">
        <x:v>SRC-001</x:v>
      </x:c>
      <x:c r="B5" t="str">
        <x:v>9to5Google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s="53" t="n">
        <x:f>IF(C5=0,0,D5/C5)</x:f>
        <x:v>0</x:v>
      </x:c>
      <x:c r="I5" s="53" t="n">
        <x:f>IF(C5=0,0,(D5-F5)/C5)</x:f>
        <x:v>0</x:v>
      </x:c>
      <x:c r="J5"/>
      <x:c r="K5"/>
      <x:c r="L5" t="str"/>
      <x:c r="M5" t="str"/>
      <x:c r="N5" t="str"/>
    </x:row>
    <x:row r="6">
      <x:c r="A6" t="str">
        <x:v>SRC-002</x:v>
      </x:c>
      <x:c r="B6" t="str">
        <x:v>9to5Mac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s="53" t="n">
        <x:f>IF(C6=0,0,D6/C6)</x:f>
        <x:v>0</x:v>
      </x:c>
      <x:c r="I6" s="53" t="n">
        <x:f>IF(C6=0,0,(D6-F6)/C6)</x:f>
        <x:v>0</x:v>
      </x:c>
      <x:c r="J6"/>
      <x:c r="K6"/>
      <x:c r="L6" t="str"/>
      <x:c r="M6" t="str"/>
      <x:c r="N6" t="str"/>
    </x:row>
    <x:row r="7">
      <x:c r="A7" t="str">
        <x:v>SRC-003</x:v>
      </x:c>
      <x:c r="B7" t="str">
        <x:v>AI Breakfast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s="53" t="n">
        <x:f>IF(C7=0,0,D7/C7)</x:f>
        <x:v>0</x:v>
      </x:c>
      <x:c r="I7" s="53" t="n">
        <x:f>IF(C7=0,0,(D7-F7)/C7)</x:f>
        <x:v>0</x:v>
      </x:c>
      <x:c r="J7"/>
      <x:c r="K7"/>
      <x:c r="L7" t="str"/>
      <x:c r="M7" t="str"/>
      <x:c r="N7" t="str"/>
    </x:row>
    <x:row r="8">
      <x:c r="A8" t="str">
        <x:v>SRC-004</x:v>
      </x:c>
      <x:c r="B8" t="str">
        <x:v>AI Governance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s="53" t="n">
        <x:f>IF(C8=0,0,D8/C8)</x:f>
        <x:v>0</x:v>
      </x:c>
      <x:c r="I8" s="53" t="n">
        <x:f>IF(C8=0,0,(D8-F8)/C8)</x:f>
        <x:v>0</x:v>
      </x:c>
      <x:c r="J8"/>
      <x:c r="K8"/>
      <x:c r="L8" t="str"/>
      <x:c r="M8" t="str"/>
      <x:c r="N8" t="str"/>
    </x:row>
    <x:row r="9">
      <x:c r="A9" t="str">
        <x:v>SRC-005</x:v>
      </x:c>
      <x:c r="B9" t="str">
        <x:v>AI Magazine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s="53" t="n">
        <x:f>IF(C9=0,0,D9/C9)</x:f>
        <x:v>0</x:v>
      </x:c>
      <x:c r="I9" s="53" t="n">
        <x:f>IF(C9=0,0,(D9-F9)/C9)</x:f>
        <x:v>0</x:v>
      </x:c>
      <x:c r="J9"/>
      <x:c r="K9"/>
      <x:c r="L9" t="str"/>
      <x:c r="M9" t="str"/>
      <x:c r="N9" t="str"/>
    </x:row>
    <x:row r="10">
      <x:c r="A10" t="str">
        <x:v>SRC-006</x:v>
      </x:c>
      <x:c r="B10" t="str">
        <x:v>AI News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s="53" t="n">
        <x:f>IF(C10=0,0,D10/C10)</x:f>
        <x:v>0</x:v>
      </x:c>
      <x:c r="I10" s="53" t="n">
        <x:f>IF(C10=0,0,(D10-F10)/C10)</x:f>
        <x:v>0</x:v>
      </x:c>
      <x:c r="J10"/>
      <x:c r="K10"/>
      <x:c r="L10" t="str"/>
      <x:c r="M10" t="str"/>
      <x:c r="N10" t="str"/>
    </x:row>
    <x:row r="11">
      <x:c r="A11" t="str">
        <x:v>SRC-007</x:v>
      </x:c>
      <x:c r="B11" t="str">
        <x:v>AI Tools Recap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s="53" t="n">
        <x:f>IF(C11=0,0,D11/C11)</x:f>
        <x:v>0</x:v>
      </x:c>
      <x:c r="I11" s="53" t="n">
        <x:f>IF(C11=0,0,(D11-F11)/C11)</x:f>
        <x:v>0</x:v>
      </x:c>
      <x:c r="J11"/>
      <x:c r="K11"/>
      <x:c r="L11" t="str"/>
      <x:c r="M11" t="str"/>
      <x:c r="N11" t="str"/>
    </x:row>
    <x:row r="12">
      <x:c r="A12" t="str">
        <x:v>SRC-008</x:v>
      </x:c>
      <x:c r="B12" t="str">
        <x:v>AI Weekly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s="53" t="n">
        <x:f>IF(C12=0,0,D12/C12)</x:f>
        <x:v>0</x:v>
      </x:c>
      <x:c r="I12" s="53" t="n">
        <x:f>IF(C12=0,0,(D12-F12)/C12)</x:f>
        <x:v>0</x:v>
      </x:c>
      <x:c r="J12"/>
      <x:c r="K12"/>
      <x:c r="L12" t="str"/>
      <x:c r="M12" t="str"/>
      <x:c r="N12" t="str"/>
    </x:row>
    <x:row r="13">
      <x:c r="A13" t="str">
        <x:v>SRC-009</x:v>
      </x:c>
      <x:c r="B13" t="str">
        <x:v>Al Jazeera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s="53" t="n">
        <x:f>IF(C13=0,0,D13/C13)</x:f>
        <x:v>0</x:v>
      </x:c>
      <x:c r="I13" s="53" t="n">
        <x:f>IF(C13=0,0,(D13-F13)/C13)</x:f>
        <x:v>0</x:v>
      </x:c>
      <x:c r="J13"/>
      <x:c r="K13"/>
      <x:c r="L13" t="str"/>
      <x:c r="M13" t="str"/>
      <x:c r="N13" t="str"/>
    </x:row>
    <x:row r="14">
      <x:c r="A14" t="str">
        <x:v>SRC-010</x:v>
      </x:c>
      <x:c r="B14" t="str">
        <x:v>Anthropic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s="53" t="n">
        <x:f>IF(C14=0,0,D14/C14)</x:f>
        <x:v>0</x:v>
      </x:c>
      <x:c r="I14" s="53" t="n">
        <x:f>IF(C14=0,0,(D14-F14)/C14)</x:f>
        <x:v>0</x:v>
      </x:c>
      <x:c r="J14"/>
      <x:c r="K14"/>
      <x:c r="L14" t="str"/>
      <x:c r="M14" t="str"/>
      <x:c r="N14" t="str"/>
    </x:row>
    <x:row r="15">
      <x:c r="A15" t="str">
        <x:v>SRC-011</x:v>
      </x:c>
      <x:c r="B15" t="str">
        <x:v>Ars Technica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s="53" t="n">
        <x:f>IF(C15=0,0,D15/C15)</x:f>
        <x:v>0</x:v>
      </x:c>
      <x:c r="I15" s="53" t="n">
        <x:f>IF(C15=0,0,(D15-F15)/C15)</x:f>
        <x:v>0</x:v>
      </x:c>
      <x:c r="J15"/>
      <x:c r="K15"/>
      <x:c r="L15" t="str"/>
      <x:c r="M15" t="str"/>
      <x:c r="N15" t="str"/>
    </x:row>
    <x:row r="16">
      <x:c r="A16" t="str">
        <x:v>SRC-012</x:v>
      </x:c>
      <x:c r="B16" t="str">
        <x:v>arXiv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s="53" t="n">
        <x:f>IF(C16=0,0,D16/C16)</x:f>
        <x:v>0</x:v>
      </x:c>
      <x:c r="I16" s="53" t="n">
        <x:f>IF(C16=0,0,(D16-F16)/C16)</x:f>
        <x:v>0</x:v>
      </x:c>
      <x:c r="J16"/>
      <x:c r="K16"/>
      <x:c r="L16" t="str"/>
      <x:c r="M16" t="str"/>
      <x:c r="N16" t="str"/>
    </x:row>
    <x:row r="17">
      <x:c r="A17" t="str">
        <x:v>SRC-013</x:v>
      </x:c>
      <x:c r="B17" t="str">
        <x:v>Associated Press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s="53" t="n">
        <x:f>IF(C17=0,0,D17/C17)</x:f>
        <x:v>0</x:v>
      </x:c>
      <x:c r="I17" s="53" t="n">
        <x:f>IF(C17=0,0,(D17-F17)/C17)</x:f>
        <x:v>0</x:v>
      </x:c>
      <x:c r="J17"/>
      <x:c r="K17"/>
      <x:c r="L17" t="str"/>
      <x:c r="M17" t="str"/>
      <x:c r="N17" t="str"/>
    </x:row>
    <x:row r="18">
      <x:c r="A18" t="str">
        <x:v>SRC-014</x:v>
      </x:c>
      <x:c r="B18" t="str">
        <x:v>Axios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s="53" t="n">
        <x:f>IF(C18=0,0,D18/C18)</x:f>
        <x:v>0</x:v>
      </x:c>
      <x:c r="I18" s="53" t="n">
        <x:f>IF(C18=0,0,(D18-F18)/C18)</x:f>
        <x:v>0</x:v>
      </x:c>
      <x:c r="J18"/>
      <x:c r="K18"/>
      <x:c r="L18" t="str"/>
      <x:c r="M18" t="str"/>
      <x:c r="N18" t="str"/>
    </x:row>
    <x:row r="19">
      <x:c r="A19" t="str">
        <x:v>SRC-015</x:v>
      </x:c>
      <x:c r="B19" t="str">
        <x:v>Ben's Bites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s="53" t="n">
        <x:f>IF(C19=0,0,D19/C19)</x:f>
        <x:v>0</x:v>
      </x:c>
      <x:c r="I19" s="53" t="n">
        <x:f>IF(C19=0,0,(D19-F19)/C19)</x:f>
        <x:v>0</x:v>
      </x:c>
      <x:c r="J19"/>
      <x:c r="K19"/>
      <x:c r="L19" t="str"/>
      <x:c r="M19" t="str"/>
      <x:c r="N19" t="str"/>
    </x:row>
    <x:row r="20">
      <x:c r="A20" t="str">
        <x:v>SRC-016</x:v>
      </x:c>
      <x:c r="B20" t="str">
        <x:v>BigGo Finance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s="53" t="n">
        <x:f>IF(C20=0,0,D20/C20)</x:f>
        <x:v>0</x:v>
      </x:c>
      <x:c r="I20" s="53" t="n">
        <x:f>IF(C20=0,0,(D20-F20)/C20)</x:f>
        <x:v>0</x:v>
      </x:c>
      <x:c r="J20"/>
      <x:c r="K20"/>
      <x:c r="L20" t="str"/>
      <x:c r="M20" t="str"/>
      <x:c r="N20" t="str"/>
    </x:row>
    <x:row r="21">
      <x:c r="A21" t="str">
        <x:v>SRC-017</x:v>
      </x:c>
      <x:c r="B21" t="str">
        <x:v>BleepingComputer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s="53" t="n">
        <x:f>IF(C21=0,0,D21/C21)</x:f>
        <x:v>0</x:v>
      </x:c>
      <x:c r="I21" s="53" t="n">
        <x:f>IF(C21=0,0,(D21-F21)/C21)</x:f>
        <x:v>0</x:v>
      </x:c>
      <x:c r="J21"/>
      <x:c r="K21"/>
      <x:c r="L21" t="str"/>
      <x:c r="M21" t="str"/>
      <x:c r="N21" t="str"/>
    </x:row>
    <x:row r="22">
      <x:c r="A22" t="str">
        <x:v>SRC-018</x:v>
      </x:c>
      <x:c r="B22" t="str">
        <x:v>blog.mean.ceo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s="53" t="n">
        <x:f>IF(C22=0,0,D22/C22)</x:f>
        <x:v>0</x:v>
      </x:c>
      <x:c r="I22" s="53" t="n">
        <x:f>IF(C22=0,0,(D22-F22)/C22)</x:f>
        <x:v>0</x:v>
      </x:c>
      <x:c r="J22"/>
      <x:c r="K22"/>
      <x:c r="L22" t="str"/>
      <x:c r="M22" t="str"/>
      <x:c r="N22" t="str"/>
    </x:row>
    <x:row r="23">
      <x:c r="A23" t="str">
        <x:v>SRC-019</x:v>
      </x:c>
      <x:c r="B23" t="str">
        <x:v>Bloomberg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s="53" t="n">
        <x:f>IF(C23=0,0,D23/C23)</x:f>
        <x:v>0</x:v>
      </x:c>
      <x:c r="I23" s="53" t="n">
        <x:f>IF(C23=0,0,(D23-F23)/C23)</x:f>
        <x:v>0</x:v>
      </x:c>
      <x:c r="J23"/>
      <x:c r="K23"/>
      <x:c r="L23" t="str"/>
      <x:c r="M23" t="str"/>
      <x:c r="N23" t="str"/>
    </x:row>
    <x:row r="24">
      <x:c r="A24" t="str">
        <x:v>SRC-020</x:v>
      </x:c>
      <x:c r="B24" t="str">
        <x:v>BuildFastWithAI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s="53" t="n">
        <x:f>IF(C24=0,0,D24/C24)</x:f>
        <x:v>0</x:v>
      </x:c>
      <x:c r="I24" s="53" t="n">
        <x:f>IF(C24=0,0,(D24-F24)/C24)</x:f>
        <x:v>0</x:v>
      </x:c>
      <x:c r="J24"/>
      <x:c r="K24"/>
      <x:c r="L24" t="str"/>
      <x:c r="M24" t="str"/>
      <x:c r="N24" t="str"/>
    </x:row>
    <x:row r="25">
      <x:c r="A25" t="str">
        <x:v>SRC-021</x:v>
      </x:c>
      <x:c r="B25" t="str">
        <x:v>CIO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s="53" t="n">
        <x:f>IF(C25=0,0,D25/C25)</x:f>
        <x:v>0</x:v>
      </x:c>
      <x:c r="I25" s="53" t="n">
        <x:f>IF(C25=0,0,(D25-F25)/C25)</x:f>
        <x:v>0</x:v>
      </x:c>
      <x:c r="J25"/>
      <x:c r="K25"/>
      <x:c r="L25" t="str"/>
      <x:c r="M25" t="str"/>
      <x:c r="N25" t="str"/>
    </x:row>
    <x:row r="26">
      <x:c r="A26" t="str">
        <x:v>SRC-022</x:v>
      </x:c>
      <x:c r="B26" t="str">
        <x:v>CNBC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s="53" t="n">
        <x:f>IF(C26=0,0,D26/C26)</x:f>
        <x:v>0</x:v>
      </x:c>
      <x:c r="I26" s="53" t="n">
        <x:f>IF(C26=0,0,(D26-F26)/C26)</x:f>
        <x:v>0</x:v>
      </x:c>
      <x:c r="J26"/>
      <x:c r="K26"/>
      <x:c r="L26" t="str"/>
      <x:c r="M26" t="str"/>
      <x:c r="N26" t="str"/>
    </x:row>
    <x:row r="27">
      <x:c r="A27" t="str">
        <x:v>SRC-023</x:v>
      </x:c>
      <x:c r="B27" t="str">
        <x:v>CNN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s="53" t="n">
        <x:f>IF(C27=0,0,D27/C27)</x:f>
        <x:v>0</x:v>
      </x:c>
      <x:c r="I27" s="53" t="n">
        <x:f>IF(C27=0,0,(D27-F27)/C27)</x:f>
        <x:v>0</x:v>
      </x:c>
      <x:c r="J27"/>
      <x:c r="K27"/>
      <x:c r="L27" t="str"/>
      <x:c r="M27" t="str"/>
      <x:c r="N27" t="str"/>
    </x:row>
    <x:row r="28">
      <x:c r="A28" t="str">
        <x:v>SRC-024</x:v>
      </x:c>
      <x:c r="B28" t="str">
        <x:v>Council of the EU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s="53" t="n">
        <x:f>IF(C28=0,0,D28/C28)</x:f>
        <x:v>0</x:v>
      </x:c>
      <x:c r="I28" s="53" t="n">
        <x:f>IF(C28=0,0,(D28-F28)/C28)</x:f>
        <x:v>0</x:v>
      </x:c>
      <x:c r="J28"/>
      <x:c r="K28"/>
      <x:c r="L28" t="str"/>
      <x:c r="M28" t="str"/>
      <x:c r="N28" t="str"/>
    </x:row>
    <x:row r="29">
      <x:c r="A29" t="str">
        <x:v>SRC-025</x:v>
      </x:c>
      <x:c r="B29" t="str">
        <x:v>Cybernews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s="53" t="n">
        <x:f>IF(C29=0,0,D29/C29)</x:f>
        <x:v>0</x:v>
      </x:c>
      <x:c r="I29" s="53" t="n">
        <x:f>IF(C29=0,0,(D29-F29)/C29)</x:f>
        <x:v>0</x:v>
      </x:c>
      <x:c r="J29"/>
      <x:c r="K29"/>
      <x:c r="L29" t="str"/>
      <x:c r="M29" t="str"/>
      <x:c r="N29" t="str"/>
    </x:row>
    <x:row r="30">
      <x:c r="A30" t="str">
        <x:v>SRC-026</x:v>
      </x:c>
      <x:c r="B30" t="str">
        <x:v>Dark Reading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s="53" t="n">
        <x:f>IF(C30=0,0,D30/C30)</x:f>
        <x:v>0</x:v>
      </x:c>
      <x:c r="I30" s="53" t="n">
        <x:f>IF(C30=0,0,(D30-F30)/C30)</x:f>
        <x:v>0</x:v>
      </x:c>
      <x:c r="J30"/>
      <x:c r="K30"/>
      <x:c r="L30" t="str"/>
      <x:c r="M30" t="str"/>
      <x:c r="N30" t="str"/>
    </x:row>
    <x:row r="31">
      <x:c r="A31" t="str">
        <x:v>SRC-027</x:v>
      </x:c>
      <x:c r="B31" t="str">
        <x:v>Dentro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s="53" t="n">
        <x:f>IF(C31=0,0,D31/C31)</x:f>
        <x:v>0</x:v>
      </x:c>
      <x:c r="I31" s="53" t="n">
        <x:f>IF(C31=0,0,(D31-F31)/C31)</x:f>
        <x:v>0</x:v>
      </x:c>
      <x:c r="J31"/>
      <x:c r="K31"/>
      <x:c r="L31" t="str"/>
      <x:c r="M31" t="str"/>
      <x:c r="N31" t="str"/>
    </x:row>
    <x:row r="32">
      <x:c r="A32" t="str">
        <x:v>SRC-028</x:v>
      </x:c>
      <x:c r="B32" t="str">
        <x:v>Digit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s="53" t="n">
        <x:f>IF(C32=0,0,D32/C32)</x:f>
        <x:v>0</x:v>
      </x:c>
      <x:c r="I32" s="53" t="n">
        <x:f>IF(C32=0,0,(D32-F32)/C32)</x:f>
        <x:v>0</x:v>
      </x:c>
      <x:c r="J32"/>
      <x:c r="K32"/>
      <x:c r="L32" t="str"/>
      <x:c r="M32" t="str"/>
      <x:c r="N32" t="str"/>
    </x:row>
    <x:row r="33">
      <x:c r="A33" t="str">
        <x:v>SRC-029</x:v>
      </x:c>
      <x:c r="B33" t="str">
        <x:v>Dominant Digitally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s="53" t="n">
        <x:f>IF(C33=0,0,D33/C33)</x:f>
        <x:v>0</x:v>
      </x:c>
      <x:c r="I33" s="53" t="n">
        <x:f>IF(C33=0,0,(D33-F33)/C33)</x:f>
        <x:v>0</x:v>
      </x:c>
      <x:c r="J33"/>
      <x:c r="K33"/>
      <x:c r="L33" t="str"/>
      <x:c r="M33" t="str"/>
      <x:c r="N33" t="str"/>
    </x:row>
    <x:row r="34">
      <x:c r="A34" t="str">
        <x:v>SRC-030</x:v>
      </x:c>
      <x:c r="B34" t="str">
        <x:v>Engadget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s="53" t="n">
        <x:f>IF(C34=0,0,D34/C34)</x:f>
        <x:v>0</x:v>
      </x:c>
      <x:c r="I34" s="53" t="n">
        <x:f>IF(C34=0,0,(D34-F34)/C34)</x:f>
        <x:v>0</x:v>
      </x:c>
      <x:c r="J34"/>
      <x:c r="K34"/>
      <x:c r="L34" t="str"/>
      <x:c r="M34" t="str"/>
      <x:c r="N34" t="str"/>
    </x:row>
    <x:row r="35">
      <x:c r="A35" t="str">
        <x:v>SRC-031</x:v>
      </x:c>
      <x:c r="B35" t="str">
        <x:v>Federal Register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s="53" t="n">
        <x:f>IF(C35=0,0,D35/C35)</x:f>
        <x:v>0</x:v>
      </x:c>
      <x:c r="I35" s="53" t="n">
        <x:f>IF(C35=0,0,(D35-F35)/C35)</x:f>
        <x:v>0</x:v>
      </x:c>
      <x:c r="J35"/>
      <x:c r="K35"/>
      <x:c r="L35" t="str"/>
      <x:c r="M35" t="str"/>
      <x:c r="N35" t="str"/>
    </x:row>
    <x:row r="36">
      <x:c r="A36" t="str">
        <x:v>SRC-032</x:v>
      </x:c>
      <x:c r="B36" t="str">
        <x:v>Feedly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s="53" t="n">
        <x:f>IF(C36=0,0,D36/C36)</x:f>
        <x:v>0</x:v>
      </x:c>
      <x:c r="I36" s="53" t="n">
        <x:f>IF(C36=0,0,(D36-F36)/C36)</x:f>
        <x:v>0</x:v>
      </x:c>
      <x:c r="J36"/>
      <x:c r="K36"/>
      <x:c r="L36" t="str"/>
      <x:c r="M36" t="str"/>
      <x:c r="N36" t="str"/>
    </x:row>
    <x:row r="37">
      <x:c r="A37" t="str">
        <x:v>SRC-033</x:v>
      </x:c>
      <x:c r="B37" t="str">
        <x:v>Financial Times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s="53" t="n">
        <x:f>IF(C37=0,0,D37/C37)</x:f>
        <x:v>0</x:v>
      </x:c>
      <x:c r="I37" s="53" t="n">
        <x:f>IF(C37=0,0,(D37-F37)/C37)</x:f>
        <x:v>0</x:v>
      </x:c>
      <x:c r="J37"/>
      <x:c r="K37"/>
      <x:c r="L37" t="str"/>
      <x:c r="M37" t="str"/>
      <x:c r="N37" t="str"/>
    </x:row>
    <x:row r="38">
      <x:c r="A38" t="str">
        <x:v>SRC-034</x:v>
      </x:c>
      <x:c r="B38" t="str">
        <x:v>Fortune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s="53" t="n">
        <x:f>IF(C38=0,0,D38/C38)</x:f>
        <x:v>0</x:v>
      </x:c>
      <x:c r="I38" s="53" t="n">
        <x:f>IF(C38=0,0,(D38-F38)/C38)</x:f>
        <x:v>0</x:v>
      </x:c>
      <x:c r="J38"/>
      <x:c r="K38"/>
      <x:c r="L38" t="str"/>
      <x:c r="M38" t="str"/>
      <x:c r="N38" t="str"/>
    </x:row>
    <x:row r="39">
      <x:c r="A39" t="str">
        <x:v>SRC-035</x:v>
      </x:c>
      <x:c r="B39" t="str">
        <x:v>Fox News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s="53" t="n">
        <x:f>IF(C39=0,0,D39/C39)</x:f>
        <x:v>0</x:v>
      </x:c>
      <x:c r="I39" s="53" t="n">
        <x:f>IF(C39=0,0,(D39-F39)/C39)</x:f>
        <x:v>0</x:v>
      </x:c>
      <x:c r="J39"/>
      <x:c r="K39"/>
      <x:c r="L39" t="str"/>
      <x:c r="M39" t="str"/>
      <x:c r="N39" t="str"/>
    </x:row>
    <x:row r="40">
      <x:c r="A40" t="str">
        <x:v>SRC-036</x:v>
      </x:c>
      <x:c r="B40" t="str">
        <x:v>FTC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s="53" t="n">
        <x:f>IF(C40=0,0,D40/C40)</x:f>
        <x:v>0</x:v>
      </x:c>
      <x:c r="I40" s="53" t="n">
        <x:f>IF(C40=0,0,(D40-F40)/C40)</x:f>
        <x:v>0</x:v>
      </x:c>
      <x:c r="J40"/>
      <x:c r="K40"/>
      <x:c r="L40" t="str"/>
      <x:c r="M40" t="str"/>
      <x:c r="N40" t="str"/>
    </x:row>
    <x:row r="41">
      <x:c r="A41" t="str">
        <x:v>SRC-037</x:v>
      </x:c>
      <x:c r="B41" t="str">
        <x:v>Gartner / Forrester Research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s="53" t="n">
        <x:f>IF(C41=0,0,D41/C41)</x:f>
        <x:v>0</x:v>
      </x:c>
      <x:c r="I41" s="53" t="n">
        <x:f>IF(C41=0,0,(D41-F41)/C41)</x:f>
        <x:v>0</x:v>
      </x:c>
      <x:c r="J41"/>
      <x:c r="K41"/>
      <x:c r="L41" t="str"/>
      <x:c r="M41" t="str"/>
      <x:c r="N41" t="str"/>
    </x:row>
    <x:row r="42">
      <x:c r="A42" t="str">
        <x:v>SRC-038</x:v>
      </x:c>
      <x:c r="B42" t="str">
        <x:v>Google AI Blog</x:v>
      </x:c>
      <x:c r="C42" t="n">
        <x:v>0</x:v>
      </x:c>
      <x:c r="D42" t="n">
        <x:v>0</x:v>
      </x:c>
      <x:c r="E42" t="n">
        <x:v>0</x:v>
      </x:c>
      <x:c r="F42" t="n">
        <x:v>0</x:v>
      </x:c>
      <x:c r="G42" t="n">
        <x:v>0</x:v>
      </x:c>
      <x:c r="H42" s="53" t="n">
        <x:f>IF(C42=0,0,D42/C42)</x:f>
        <x:v>0</x:v>
      </x:c>
      <x:c r="I42" s="53" t="n">
        <x:f>IF(C42=0,0,(D42-F42)/C42)</x:f>
        <x:v>0</x:v>
      </x:c>
      <x:c r="J42"/>
      <x:c r="K42"/>
      <x:c r="L42" t="str"/>
      <x:c r="M42" t="str"/>
      <x:c r="N42" t="str"/>
    </x:row>
    <x:row r="43">
      <x:c r="A43" t="str">
        <x:v>SRC-039</x:v>
      </x:c>
      <x:c r="B43" t="str">
        <x:v>Google DeepMind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s="53" t="n">
        <x:f>IF(C43=0,0,D43/C43)</x:f>
        <x:v>0</x:v>
      </x:c>
      <x:c r="I43" s="53" t="n">
        <x:f>IF(C43=0,0,(D43-F43)/C43)</x:f>
        <x:v>0</x:v>
      </x:c>
      <x:c r="J43"/>
      <x:c r="K43"/>
      <x:c r="L43" t="str"/>
      <x:c r="M43" t="str"/>
      <x:c r="N43" t="str"/>
    </x:row>
    <x:row r="44">
      <x:c r="A44" t="str">
        <x:v>SRC-040</x:v>
      </x:c>
      <x:c r="B44" t="str">
        <x:v>Hard2Bit</x:v>
      </x:c>
      <x:c r="C44" t="n">
        <x:v>0</x:v>
      </x:c>
      <x:c r="D44" t="n">
        <x:v>0</x:v>
      </x:c>
      <x:c r="E44" t="n">
        <x:v>0</x:v>
      </x:c>
      <x:c r="F44" t="n">
        <x:v>0</x:v>
      </x:c>
      <x:c r="G44" t="n">
        <x:v>0</x:v>
      </x:c>
      <x:c r="H44" s="53" t="n">
        <x:f>IF(C44=0,0,D44/C44)</x:f>
        <x:v>0</x:v>
      </x:c>
      <x:c r="I44" s="53" t="n">
        <x:f>IF(C44=0,0,(D44-F44)/C44)</x:f>
        <x:v>0</x:v>
      </x:c>
      <x:c r="J44"/>
      <x:c r="K44"/>
      <x:c r="L44" t="str"/>
      <x:c r="M44" t="str"/>
      <x:c r="N44" t="str"/>
    </x:row>
    <x:row r="45">
      <x:c r="A45" t="str">
        <x:v>SRC-041</x:v>
      </x:c>
      <x:c r="B45" t="str">
        <x:v>Harvard Business Review</x:v>
      </x:c>
      <x:c r="C45" t="n">
        <x:v>0</x:v>
      </x:c>
      <x:c r="D45" t="n">
        <x:v>0</x:v>
      </x:c>
      <x:c r="E45" t="n">
        <x:v>0</x:v>
      </x:c>
      <x:c r="F45" t="n">
        <x:v>0</x:v>
      </x:c>
      <x:c r="G45" t="n">
        <x:v>0</x:v>
      </x:c>
      <x:c r="H45" s="53" t="n">
        <x:f>IF(C45=0,0,D45/C45)</x:f>
        <x:v>0</x:v>
      </x:c>
      <x:c r="I45" s="53" t="n">
        <x:f>IF(C45=0,0,(D45-F45)/C45)</x:f>
        <x:v>0</x:v>
      </x:c>
      <x:c r="J45"/>
      <x:c r="K45"/>
      <x:c r="L45" t="str"/>
      <x:c r="M45" t="str"/>
      <x:c r="N45" t="str"/>
    </x:row>
    <x:row r="46">
      <x:c r="A46" t="str">
        <x:v>SRC-042</x:v>
      </x:c>
      <x:c r="B46" t="str">
        <x:v>HIPTHER</x:v>
      </x:c>
      <x:c r="C46" t="n">
        <x:v>0</x:v>
      </x:c>
      <x:c r="D46" t="n">
        <x:v>0</x:v>
      </x:c>
      <x:c r="E46" t="n">
        <x:v>0</x:v>
      </x:c>
      <x:c r="F46" t="n">
        <x:v>0</x:v>
      </x:c>
      <x:c r="G46" t="n">
        <x:v>0</x:v>
      </x:c>
      <x:c r="H46" s="53" t="n">
        <x:f>IF(C46=0,0,D46/C46)</x:f>
        <x:v>0</x:v>
      </x:c>
      <x:c r="I46" s="53" t="n">
        <x:f>IF(C46=0,0,(D46-F46)/C46)</x:f>
        <x:v>0</x:v>
      </x:c>
      <x:c r="J46"/>
      <x:c r="K46"/>
      <x:c r="L46" t="str"/>
      <x:c r="M46" t="str"/>
      <x:c r="N46" t="str"/>
    </x:row>
    <x:row r="47">
      <x:c r="A47" t="str">
        <x:v>SRC-043</x:v>
      </x:c>
      <x:c r="B47" t="str">
        <x:v>IEEE Spectrum</x:v>
      </x:c>
      <x:c r="C47" t="n">
        <x:v>0</x:v>
      </x:c>
      <x:c r="D47" t="n">
        <x:v>0</x:v>
      </x:c>
      <x:c r="E47" t="n">
        <x:v>0</x:v>
      </x:c>
      <x:c r="F47" t="n">
        <x:v>0</x:v>
      </x:c>
      <x:c r="G47" t="n">
        <x:v>0</x:v>
      </x:c>
      <x:c r="H47" s="53" t="n">
        <x:f>IF(C47=0,0,D47/C47)</x:f>
        <x:v>0</x:v>
      </x:c>
      <x:c r="I47" s="53" t="n">
        <x:f>IF(C47=0,0,(D47-F47)/C47)</x:f>
        <x:v>0</x:v>
      </x:c>
      <x:c r="J47"/>
      <x:c r="K47"/>
      <x:c r="L47" t="str"/>
      <x:c r="M47" t="str"/>
      <x:c r="N47" t="str"/>
    </x:row>
    <x:row r="48">
      <x:c r="A48" t="str">
        <x:v>SRC-044</x:v>
      </x:c>
      <x:c r="B48" t="str">
        <x:v>Import AI (Jack Clark)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0</x:v>
      </x:c>
      <x:c r="H48" s="53" t="n">
        <x:f>IF(C48=0,0,D48/C48)</x:f>
        <x:v>0</x:v>
      </x:c>
      <x:c r="I48" s="53" t="n">
        <x:f>IF(C48=0,0,(D48-F48)/C48)</x:f>
        <x:v>0</x:v>
      </x:c>
      <x:c r="J48"/>
      <x:c r="K48"/>
      <x:c r="L48" t="str"/>
      <x:c r="M48" t="str"/>
      <x:c r="N48" t="str"/>
    </x:row>
    <x:row r="49">
      <x:c r="A49" t="str">
        <x:v>SRC-045</x:v>
      </x:c>
      <x:c r="B49" t="str">
        <x:v>Infosecurity Magazine</x:v>
      </x:c>
      <x:c r="C49" t="n">
        <x:v>0</x:v>
      </x:c>
      <x:c r="D49" t="n">
        <x:v>0</x:v>
      </x:c>
      <x:c r="E49" t="n">
        <x:v>0</x:v>
      </x:c>
      <x:c r="F49" t="n">
        <x:v>0</x:v>
      </x:c>
      <x:c r="G49" t="n">
        <x:v>0</x:v>
      </x:c>
      <x:c r="H49" s="53" t="n">
        <x:f>IF(C49=0,0,D49/C49)</x:f>
        <x:v>0</x:v>
      </x:c>
      <x:c r="I49" s="53" t="n">
        <x:f>IF(C49=0,0,(D49-F49)/C49)</x:f>
        <x:v>0</x:v>
      </x:c>
      <x:c r="J49"/>
      <x:c r="K49"/>
      <x:c r="L49" t="str"/>
      <x:c r="M49" t="str"/>
      <x:c r="N49" t="str"/>
    </x:row>
    <x:row r="50">
      <x:c r="A50" t="str">
        <x:v>SRC-046</x:v>
      </x:c>
      <x:c r="B50" t="str">
        <x:v>Introl</x:v>
      </x:c>
      <x:c r="C50" t="n">
        <x:v>0</x:v>
      </x:c>
      <x:c r="D50" t="n">
        <x:v>0</x:v>
      </x:c>
      <x:c r="E50" t="n">
        <x:v>0</x:v>
      </x:c>
      <x:c r="F50" t="n">
        <x:v>0</x:v>
      </x:c>
      <x:c r="G50" t="n">
        <x:v>0</x:v>
      </x:c>
      <x:c r="H50" s="53" t="n">
        <x:f>IF(C50=0,0,D50/C50)</x:f>
        <x:v>0</x:v>
      </x:c>
      <x:c r="I50" s="53" t="n">
        <x:f>IF(C50=0,0,(D50-F50)/C50)</x:f>
        <x:v>0</x:v>
      </x:c>
      <x:c r="J50"/>
      <x:c r="K50"/>
      <x:c r="L50" t="str"/>
      <x:c r="M50" t="str"/>
      <x:c r="N50" t="str"/>
    </x:row>
    <x:row r="51">
      <x:c r="A51" t="str">
        <x:v>SRC-047</x:v>
      </x:c>
      <x:c r="B51" t="str">
        <x:v>IT Pro</x:v>
      </x:c>
      <x:c r="C51" t="n">
        <x:v>0</x:v>
      </x:c>
      <x:c r="D51" t="n">
        <x:v>0</x:v>
      </x:c>
      <x:c r="E51" t="n">
        <x:v>0</x:v>
      </x:c>
      <x:c r="F51" t="n">
        <x:v>0</x:v>
      </x:c>
      <x:c r="G51" t="n">
        <x:v>0</x:v>
      </x:c>
      <x:c r="H51" s="53" t="n">
        <x:f>IF(C51=0,0,D51/C51)</x:f>
        <x:v>0</x:v>
      </x:c>
      <x:c r="I51" s="53" t="n">
        <x:f>IF(C51=0,0,(D51-F51)/C51)</x:f>
        <x:v>0</x:v>
      </x:c>
      <x:c r="J51"/>
      <x:c r="K51"/>
      <x:c r="L51" t="str"/>
      <x:c r="M51" t="str"/>
      <x:c r="N51" t="str"/>
    </x:row>
    <x:row r="52">
      <x:c r="A52" t="str">
        <x:v>SRC-048</x:v>
      </x:c>
      <x:c r="B52" t="str">
        <x:v>MacRumors</x:v>
      </x:c>
      <x:c r="C52" t="n">
        <x:v>0</x:v>
      </x:c>
      <x:c r="D52" t="n">
        <x:v>0</x:v>
      </x:c>
      <x:c r="E52" t="n">
        <x:v>0</x:v>
      </x:c>
      <x:c r="F52" t="n">
        <x:v>0</x:v>
      </x:c>
      <x:c r="G52" t="n">
        <x:v>0</x:v>
      </x:c>
      <x:c r="H52" s="53" t="n">
        <x:f>IF(C52=0,0,D52/C52)</x:f>
        <x:v>0</x:v>
      </x:c>
      <x:c r="I52" s="53" t="n">
        <x:f>IF(C52=0,0,(D52-F52)/C52)</x:f>
        <x:v>0</x:v>
      </x:c>
      <x:c r="J52"/>
      <x:c r="K52"/>
      <x:c r="L52" t="str"/>
      <x:c r="M52" t="str"/>
      <x:c r="N52" t="str"/>
    </x:row>
    <x:row r="53">
      <x:c r="A53" t="str">
        <x:v>SRC-049</x:v>
      </x:c>
      <x:c r="B53" t="str">
        <x:v>Marketing AI Institute</x:v>
      </x:c>
      <x:c r="C53" t="n">
        <x:v>0</x:v>
      </x:c>
      <x:c r="D53" t="n">
        <x:v>0</x:v>
      </x:c>
      <x:c r="E53" t="n">
        <x:v>0</x:v>
      </x:c>
      <x:c r="F53" t="n">
        <x:v>0</x:v>
      </x:c>
      <x:c r="G53" t="n">
        <x:v>0</x:v>
      </x:c>
      <x:c r="H53" s="53" t="n">
        <x:f>IF(C53=0,0,D53/C53)</x:f>
        <x:v>0</x:v>
      </x:c>
      <x:c r="I53" s="53" t="n">
        <x:f>IF(C53=0,0,(D53-F53)/C53)</x:f>
        <x:v>0</x:v>
      </x:c>
      <x:c r="J53"/>
      <x:c r="K53"/>
      <x:c r="L53" t="str"/>
      <x:c r="M53" t="str"/>
      <x:c r="N53" t="str"/>
    </x:row>
    <x:row r="54">
      <x:c r="A54" t="str">
        <x:v>SRC-050</x:v>
      </x:c>
      <x:c r="B54" t="str">
        <x:v>MarkTechPost</x:v>
      </x:c>
      <x:c r="C54" t="n">
        <x:v>0</x:v>
      </x:c>
      <x:c r="D54" t="n">
        <x:v>0</x:v>
      </x:c>
      <x:c r="E54" t="n">
        <x:v>0</x:v>
      </x:c>
      <x:c r="F54" t="n">
        <x:v>0</x:v>
      </x:c>
      <x:c r="G54" t="n">
        <x:v>0</x:v>
      </x:c>
      <x:c r="H54" s="53" t="n">
        <x:f>IF(C54=0,0,D54/C54)</x:f>
        <x:v>0</x:v>
      </x:c>
      <x:c r="I54" s="53" t="n">
        <x:f>IF(C54=0,0,(D54-F54)/C54)</x:f>
        <x:v>0</x:v>
      </x:c>
      <x:c r="J54"/>
      <x:c r="K54"/>
      <x:c r="L54" t="str"/>
      <x:c r="M54" t="str"/>
      <x:c r="N54" t="str"/>
    </x:row>
    <x:row r="55">
      <x:c r="A55" t="str">
        <x:v>SRC-051</x:v>
      </x:c>
      <x:c r="B55" t="str">
        <x:v>McKinsey QuantumBlack</x:v>
      </x:c>
      <x:c r="C55" t="n">
        <x:v>0</x:v>
      </x:c>
      <x:c r="D55" t="n">
        <x:v>0</x:v>
      </x:c>
      <x:c r="E55" t="n">
        <x:v>0</x:v>
      </x:c>
      <x:c r="F55" t="n">
        <x:v>0</x:v>
      </x:c>
      <x:c r="G55" t="n">
        <x:v>0</x:v>
      </x:c>
      <x:c r="H55" s="53" t="n">
        <x:f>IF(C55=0,0,D55/C55)</x:f>
        <x:v>0</x:v>
      </x:c>
      <x:c r="I55" s="53" t="n">
        <x:f>IF(C55=0,0,(D55-F55)/C55)</x:f>
        <x:v>0</x:v>
      </x:c>
      <x:c r="J55"/>
      <x:c r="K55"/>
      <x:c r="L55" t="str"/>
      <x:c r="M55" t="str"/>
      <x:c r="N55" t="str"/>
    </x:row>
    <x:row r="56">
      <x:c r="A56" t="str">
        <x:v>SRC-052</x:v>
      </x:c>
      <x:c r="B56" t="str">
        <x:v>Memeburn</x:v>
      </x:c>
      <x:c r="C56" t="n">
        <x:v>0</x:v>
      </x:c>
      <x:c r="D56" t="n">
        <x:v>0</x:v>
      </x:c>
      <x:c r="E56" t="n">
        <x:v>0</x:v>
      </x:c>
      <x:c r="F56" t="n">
        <x:v>0</x:v>
      </x:c>
      <x:c r="G56" t="n">
        <x:v>0</x:v>
      </x:c>
      <x:c r="H56" s="53" t="n">
        <x:f>IF(C56=0,0,D56/C56)</x:f>
        <x:v>0</x:v>
      </x:c>
      <x:c r="I56" s="53" t="n">
        <x:f>IF(C56=0,0,(D56-F56)/C56)</x:f>
        <x:v>0</x:v>
      </x:c>
      <x:c r="J56"/>
      <x:c r="K56"/>
      <x:c r="L56" t="str"/>
      <x:c r="M56" t="str"/>
      <x:c r="N56" t="str"/>
    </x:row>
    <x:row r="57">
      <x:c r="A57" t="str">
        <x:v>SRC-053</x:v>
      </x:c>
      <x:c r="B57" t="str">
        <x:v>Meta AI</x:v>
      </x:c>
      <x:c r="C57" t="n">
        <x:v>0</x:v>
      </x:c>
      <x:c r="D57" t="n">
        <x:v>0</x:v>
      </x:c>
      <x:c r="E57" t="n">
        <x:v>0</x:v>
      </x:c>
      <x:c r="F57" t="n">
        <x:v>0</x:v>
      </x:c>
      <x:c r="G57" t="n">
        <x:v>0</x:v>
      </x:c>
      <x:c r="H57" s="53" t="n">
        <x:f>IF(C57=0,0,D57/C57)</x:f>
        <x:v>0</x:v>
      </x:c>
      <x:c r="I57" s="53" t="n">
        <x:f>IF(C57=0,0,(D57-F57)/C57)</x:f>
        <x:v>0</x:v>
      </x:c>
      <x:c r="J57"/>
      <x:c r="K57"/>
      <x:c r="L57" t="str"/>
      <x:c r="M57" t="str"/>
      <x:c r="N57" t="str"/>
    </x:row>
    <x:row r="58">
      <x:c r="A58" t="str">
        <x:v>SRC-054</x:v>
      </x:c>
      <x:c r="B58" t="str">
        <x:v>Microsoft Blogs</x:v>
      </x:c>
      <x:c r="C58" t="n">
        <x:v>0</x:v>
      </x:c>
      <x:c r="D58" t="n">
        <x:v>0</x:v>
      </x:c>
      <x:c r="E58" t="n">
        <x:v>0</x:v>
      </x:c>
      <x:c r="F58" t="n">
        <x:v>0</x:v>
      </x:c>
      <x:c r="G58" t="n">
        <x:v>0</x:v>
      </x:c>
      <x:c r="H58" s="53" t="n">
        <x:f>IF(C58=0,0,D58/C58)</x:f>
        <x:v>0</x:v>
      </x:c>
      <x:c r="I58" s="53" t="n">
        <x:f>IF(C58=0,0,(D58-F58)/C58)</x:f>
        <x:v>0</x:v>
      </x:c>
      <x:c r="J58"/>
      <x:c r="K58"/>
      <x:c r="L58" t="str"/>
      <x:c r="M58" t="str"/>
      <x:c r="N58" t="str"/>
    </x:row>
    <x:row r="59">
      <x:c r="A59" t="str">
        <x:v>SRC-055</x:v>
      </x:c>
      <x:c r="B59" t="str">
        <x:v>Microsoft Research</x:v>
      </x:c>
      <x:c r="C59" t="n">
        <x:v>0</x:v>
      </x:c>
      <x:c r="D59" t="n">
        <x:v>0</x:v>
      </x:c>
      <x:c r="E59" t="n">
        <x:v>0</x:v>
      </x:c>
      <x:c r="F59" t="n">
        <x:v>0</x:v>
      </x:c>
      <x:c r="G59" t="n">
        <x:v>0</x:v>
      </x:c>
      <x:c r="H59" s="53" t="n">
        <x:f>IF(C59=0,0,D59/C59)</x:f>
        <x:v>0</x:v>
      </x:c>
      <x:c r="I59" s="53" t="n">
        <x:f>IF(C59=0,0,(D59-F59)/C59)</x:f>
        <x:v>0</x:v>
      </x:c>
      <x:c r="J59"/>
      <x:c r="K59"/>
      <x:c r="L59" t="str"/>
      <x:c r="M59" t="str"/>
      <x:c r="N59" t="str"/>
    </x:row>
    <x:row r="60">
      <x:c r="A60" t="str">
        <x:v>SRC-056</x:v>
      </x:c>
      <x:c r="B60" t="str">
        <x:v>Mishcon de Reya</x:v>
      </x:c>
      <x:c r="C60" t="n">
        <x:v>0</x:v>
      </x:c>
      <x:c r="D60" t="n">
        <x:v>0</x:v>
      </x:c>
      <x:c r="E60" t="n">
        <x:v>0</x:v>
      </x:c>
      <x:c r="F60" t="n">
        <x:v>0</x:v>
      </x:c>
      <x:c r="G60" t="n">
        <x:v>0</x:v>
      </x:c>
      <x:c r="H60" s="53" t="n">
        <x:f>IF(C60=0,0,D60/C60)</x:f>
        <x:v>0</x:v>
      </x:c>
      <x:c r="I60" s="53" t="n">
        <x:f>IF(C60=0,0,(D60-F60)/C60)</x:f>
        <x:v>0</x:v>
      </x:c>
      <x:c r="J60"/>
      <x:c r="K60"/>
      <x:c r="L60" t="str"/>
      <x:c r="M60" t="str"/>
      <x:c r="N60" t="str"/>
    </x:row>
    <x:row r="61">
      <x:c r="A61" t="str">
        <x:v>SRC-057</x:v>
      </x:c>
      <x:c r="B61" t="str">
        <x:v>MIT Technology Review</x:v>
      </x:c>
      <x:c r="C61" t="n">
        <x:v>0</x:v>
      </x:c>
      <x:c r="D61" t="n">
        <x:v>0</x:v>
      </x:c>
      <x:c r="E61" t="n">
        <x:v>0</x:v>
      </x:c>
      <x:c r="F61" t="n">
        <x:v>0</x:v>
      </x:c>
      <x:c r="G61" t="n">
        <x:v>0</x:v>
      </x:c>
      <x:c r="H61" s="53" t="n">
        <x:f>IF(C61=0,0,D61/C61)</x:f>
        <x:v>0</x:v>
      </x:c>
      <x:c r="I61" s="53" t="n">
        <x:f>IF(C61=0,0,(D61-F61)/C61)</x:f>
        <x:v>0</x:v>
      </x:c>
      <x:c r="J61"/>
      <x:c r="K61"/>
      <x:c r="L61" t="str"/>
      <x:c r="M61" t="str"/>
      <x:c r="N61" t="str"/>
    </x:row>
    <x:row r="62">
      <x:c r="A62" t="str">
        <x:v>SRC-058</x:v>
      </x:c>
      <x:c r="B62" t="str">
        <x:v>NBC News</x:v>
      </x:c>
      <x:c r="C62" t="n">
        <x:v>0</x:v>
      </x:c>
      <x:c r="D62" t="n">
        <x:v>0</x:v>
      </x:c>
      <x:c r="E62" t="n">
        <x:v>0</x:v>
      </x:c>
      <x:c r="F62" t="n">
        <x:v>0</x:v>
      </x:c>
      <x:c r="G62" t="n">
        <x:v>0</x:v>
      </x:c>
      <x:c r="H62" s="53" t="n">
        <x:f>IF(C62=0,0,D62/C62)</x:f>
        <x:v>0</x:v>
      </x:c>
      <x:c r="I62" s="53" t="n">
        <x:f>IF(C62=0,0,(D62-F62)/C62)</x:f>
        <x:v>0</x:v>
      </x:c>
      <x:c r="J62"/>
      <x:c r="K62"/>
      <x:c r="L62" t="str"/>
      <x:c r="M62" t="str"/>
      <x:c r="N62" t="str"/>
    </x:row>
    <x:row r="63">
      <x:c r="A63" t="str">
        <x:v>SRC-059</x:v>
      </x:c>
      <x:c r="B63" t="str">
        <x:v>NPR</x:v>
      </x:c>
      <x:c r="C63" t="n">
        <x:v>0</x:v>
      </x:c>
      <x:c r="D63" t="n">
        <x:v>0</x:v>
      </x:c>
      <x:c r="E63" t="n">
        <x:v>0</x:v>
      </x:c>
      <x:c r="F63" t="n">
        <x:v>0</x:v>
      </x:c>
      <x:c r="G63" t="n">
        <x:v>0</x:v>
      </x:c>
      <x:c r="H63" s="53" t="n">
        <x:f>IF(C63=0,0,D63/C63)</x:f>
        <x:v>0</x:v>
      </x:c>
      <x:c r="I63" s="53" t="n">
        <x:f>IF(C63=0,0,(D63-F63)/C63)</x:f>
        <x:v>0</x:v>
      </x:c>
      <x:c r="J63"/>
      <x:c r="K63"/>
      <x:c r="L63" t="str"/>
      <x:c r="M63" t="str"/>
      <x:c r="N63" t="str"/>
    </x:row>
    <x:row r="64">
      <x:c r="A64" t="str">
        <x:v>SRC-060</x:v>
      </x:c>
      <x:c r="B64" t="str">
        <x:v>NSFOCUS Global</x:v>
      </x:c>
      <x:c r="C64" t="n">
        <x:v>0</x:v>
      </x:c>
      <x:c r="D64" t="n">
        <x:v>0</x:v>
      </x:c>
      <x:c r="E64" t="n">
        <x:v>0</x:v>
      </x:c>
      <x:c r="F64" t="n">
        <x:v>0</x:v>
      </x:c>
      <x:c r="G64" t="n">
        <x:v>0</x:v>
      </x:c>
      <x:c r="H64" s="53" t="n">
        <x:f>IF(C64=0,0,D64/C64)</x:f>
        <x:v>0</x:v>
      </x:c>
      <x:c r="I64" s="53" t="n">
        <x:f>IF(C64=0,0,(D64-F64)/C64)</x:f>
        <x:v>0</x:v>
      </x:c>
      <x:c r="J64"/>
      <x:c r="K64"/>
      <x:c r="L64" t="str"/>
      <x:c r="M64" t="str"/>
      <x:c r="N64" t="str"/>
    </x:row>
    <x:row r="65">
      <x:c r="A65" t="str">
        <x:v>SRC-061</x:v>
      </x:c>
      <x:c r="B65" t="str">
        <x:v>NVIDIA Blog</x:v>
      </x:c>
      <x:c r="C65" t="n">
        <x:v>0</x:v>
      </x:c>
      <x:c r="D65" t="n">
        <x:v>0</x:v>
      </x:c>
      <x:c r="E65" t="n">
        <x:v>0</x:v>
      </x:c>
      <x:c r="F65" t="n">
        <x:v>0</x:v>
      </x:c>
      <x:c r="G65" t="n">
        <x:v>0</x:v>
      </x:c>
      <x:c r="H65" s="53" t="n">
        <x:f>IF(C65=0,0,D65/C65)</x:f>
        <x:v>0</x:v>
      </x:c>
      <x:c r="I65" s="53" t="n">
        <x:f>IF(C65=0,0,(D65-F65)/C65)</x:f>
        <x:v>0</x:v>
      </x:c>
      <x:c r="J65"/>
      <x:c r="K65"/>
      <x:c r="L65" t="str"/>
      <x:c r="M65" t="str"/>
      <x:c r="N65" t="str"/>
    </x:row>
    <x:row r="66">
      <x:c r="A66" t="str">
        <x:v>SRC-062</x:v>
      </x:c>
      <x:c r="B66" t="str">
        <x:v>OpenAI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0</x:v>
      </x:c>
      <x:c r="H66" s="53" t="n">
        <x:f>IF(C66=0,0,D66/C66)</x:f>
        <x:v>0</x:v>
      </x:c>
      <x:c r="I66" s="53" t="n">
        <x:f>IF(C66=0,0,(D66-F66)/C66)</x:f>
        <x:v>0</x:v>
      </x:c>
      <x:c r="J66"/>
      <x:c r="K66"/>
      <x:c r="L66" t="str"/>
      <x:c r="M66" t="str"/>
      <x:c r="N66" t="str"/>
    </x:row>
    <x:row r="67">
      <x:c r="A67" t="str">
        <x:v>SRC-063</x:v>
      </x:c>
      <x:c r="B67" t="str">
        <x:v>Proactive Investors</x:v>
      </x:c>
      <x:c r="C67" t="n">
        <x:v>0</x:v>
      </x:c>
      <x:c r="D67" t="n">
        <x:v>0</x:v>
      </x:c>
      <x:c r="E67" t="n">
        <x:v>0</x:v>
      </x:c>
      <x:c r="F67" t="n">
        <x:v>0</x:v>
      </x:c>
      <x:c r="G67" t="n">
        <x:v>0</x:v>
      </x:c>
      <x:c r="H67" s="53" t="n">
        <x:f>IF(C67=0,0,D67/C67)</x:f>
        <x:v>0</x:v>
      </x:c>
      <x:c r="I67" s="53" t="n">
        <x:f>IF(C67=0,0,(D67-F67)/C67)</x:f>
        <x:v>0</x:v>
      </x:c>
      <x:c r="J67"/>
      <x:c r="K67"/>
      <x:c r="L67" t="str"/>
      <x:c r="M67" t="str"/>
      <x:c r="N67" t="str"/>
    </x:row>
    <x:row r="68">
      <x:c r="A68" t="str">
        <x:v>SRC-064</x:v>
      </x:c>
      <x:c r="B68" t="str">
        <x:v>Reuters</x:v>
      </x:c>
      <x:c r="C68" t="n">
        <x:v>0</x:v>
      </x:c>
      <x:c r="D68" t="n">
        <x:v>0</x:v>
      </x:c>
      <x:c r="E68" t="n">
        <x:v>0</x:v>
      </x:c>
      <x:c r="F68" t="n">
        <x:v>0</x:v>
      </x:c>
      <x:c r="G68" t="n">
        <x:v>0</x:v>
      </x:c>
      <x:c r="H68" s="53" t="n">
        <x:f>IF(C68=0,0,D68/C68)</x:f>
        <x:v>0</x:v>
      </x:c>
      <x:c r="I68" s="53" t="n">
        <x:f>IF(C68=0,0,(D68-F68)/C68)</x:f>
        <x:v>0</x:v>
      </x:c>
      <x:c r="J68"/>
      <x:c r="K68"/>
      <x:c r="L68" t="str"/>
      <x:c r="M68" t="str"/>
      <x:c r="N68" t="str"/>
    </x:row>
    <x:row r="69">
      <x:c r="A69" t="str">
        <x:v>SRC-065</x:v>
      </x:c>
      <x:c r="B69" t="str">
        <x:v>ScienceDaily</x:v>
      </x:c>
      <x:c r="C69" t="n">
        <x:v>0</x:v>
      </x:c>
      <x:c r="D69" t="n">
        <x:v>0</x:v>
      </x:c>
      <x:c r="E69" t="n">
        <x:v>0</x:v>
      </x:c>
      <x:c r="F69" t="n">
        <x:v>0</x:v>
      </x:c>
      <x:c r="G69" t="n">
        <x:v>0</x:v>
      </x:c>
      <x:c r="H69" s="53" t="n">
        <x:f>IF(C69=0,0,D69/C69)</x:f>
        <x:v>0</x:v>
      </x:c>
      <x:c r="I69" s="53" t="n">
        <x:f>IF(C69=0,0,(D69-F69)/C69)</x:f>
        <x:v>0</x:v>
      </x:c>
      <x:c r="J69"/>
      <x:c r="K69"/>
      <x:c r="L69" t="str"/>
      <x:c r="M69" t="str"/>
      <x:c r="N69" t="str"/>
    </x:row>
    <x:row r="70">
      <x:c r="A70" t="str">
        <x:v>SRC-066</x:v>
      </x:c>
      <x:c r="B70" t="str">
        <x:v>Security Affairs</x:v>
      </x:c>
      <x:c r="C70" t="n">
        <x:v>0</x:v>
      </x:c>
      <x:c r="D70" t="n">
        <x:v>0</x:v>
      </x:c>
      <x:c r="E70" t="n">
        <x:v>0</x:v>
      </x:c>
      <x:c r="F70" t="n">
        <x:v>0</x:v>
      </x:c>
      <x:c r="G70" t="n">
        <x:v>0</x:v>
      </x:c>
      <x:c r="H70" s="53" t="n">
        <x:f>IF(C70=0,0,D70/C70)</x:f>
        <x:v>0</x:v>
      </x:c>
      <x:c r="I70" s="53" t="n">
        <x:f>IF(C70=0,0,(D70-F70)/C70)</x:f>
        <x:v>0</x:v>
      </x:c>
      <x:c r="J70"/>
      <x:c r="K70"/>
      <x:c r="L70" t="str"/>
      <x:c r="M70" t="str"/>
      <x:c r="N70" t="str"/>
    </x:row>
    <x:row r="71">
      <x:c r="A71" t="str">
        <x:v>SRC-067</x:v>
      </x:c>
      <x:c r="B71" t="str">
        <x:v>SiliconANGLE</x:v>
      </x:c>
      <x:c r="C71" t="n">
        <x:v>0</x:v>
      </x:c>
      <x:c r="D71" t="n">
        <x:v>0</x:v>
      </x:c>
      <x:c r="E71" t="n">
        <x:v>0</x:v>
      </x:c>
      <x:c r="F71" t="n">
        <x:v>0</x:v>
      </x:c>
      <x:c r="G71" t="n">
        <x:v>0</x:v>
      </x:c>
      <x:c r="H71" s="53" t="n">
        <x:f>IF(C71=0,0,D71/C71)</x:f>
        <x:v>0</x:v>
      </x:c>
      <x:c r="I71" s="53" t="n">
        <x:f>IF(C71=0,0,(D71-F71)/C71)</x:f>
        <x:v>0</x:v>
      </x:c>
      <x:c r="J71"/>
      <x:c r="K71"/>
      <x:c r="L71" t="str"/>
      <x:c r="M71" t="str"/>
      <x:c r="N71" t="str"/>
    </x:row>
    <x:row r="72">
      <x:c r="A72" t="str">
        <x:v>SRC-068</x:v>
      </x:c>
      <x:c r="B72" t="str">
        <x:v>Stocktwits</x:v>
      </x:c>
      <x:c r="C72" t="n">
        <x:v>0</x:v>
      </x:c>
      <x:c r="D72" t="n">
        <x:v>0</x:v>
      </x:c>
      <x:c r="E72" t="n">
        <x:v>0</x:v>
      </x:c>
      <x:c r="F72" t="n">
        <x:v>0</x:v>
      </x:c>
      <x:c r="G72" t="n">
        <x:v>0</x:v>
      </x:c>
      <x:c r="H72" s="53" t="n">
        <x:f>IF(C72=0,0,D72/C72)</x:f>
        <x:v>0</x:v>
      </x:c>
      <x:c r="I72" s="53" t="n">
        <x:f>IF(C72=0,0,(D72-F72)/C72)</x:f>
        <x:v>0</x:v>
      </x:c>
      <x:c r="J72"/>
      <x:c r="K72"/>
      <x:c r="L72" t="str"/>
      <x:c r="M72" t="str"/>
      <x:c r="N72" t="str"/>
    </x:row>
    <x:row r="73">
      <x:c r="A73" t="str">
        <x:v>SRC-069</x:v>
      </x:c>
      <x:c r="B73" t="str">
        <x:v>Sysdig</x:v>
      </x:c>
      <x:c r="C73" t="n">
        <x:v>0</x:v>
      </x:c>
      <x:c r="D73" t="n">
        <x:v>0</x:v>
      </x:c>
      <x:c r="E73" t="n">
        <x:v>0</x:v>
      </x:c>
      <x:c r="F73" t="n">
        <x:v>0</x:v>
      </x:c>
      <x:c r="G73" t="n">
        <x:v>0</x:v>
      </x:c>
      <x:c r="H73" s="53" t="n">
        <x:f>IF(C73=0,0,D73/C73)</x:f>
        <x:v>0</x:v>
      </x:c>
      <x:c r="I73" s="53" t="n">
        <x:f>IF(C73=0,0,(D73-F73)/C73)</x:f>
        <x:v>0</x:v>
      </x:c>
      <x:c r="J73"/>
      <x:c r="K73"/>
      <x:c r="L73" t="str"/>
      <x:c r="M73" t="str"/>
      <x:c r="N73" t="str"/>
    </x:row>
    <x:row r="74">
      <x:c r="A74" t="str">
        <x:v>SRC-070</x:v>
      </x:c>
      <x:c r="B74" t="str">
        <x:v>Tech Policy Press</x:v>
      </x:c>
      <x:c r="C74" t="n">
        <x:v>0</x:v>
      </x:c>
      <x:c r="D74" t="n">
        <x:v>0</x:v>
      </x:c>
      <x:c r="E74" t="n">
        <x:v>0</x:v>
      </x:c>
      <x:c r="F74" t="n">
        <x:v>0</x:v>
      </x:c>
      <x:c r="G74" t="n">
        <x:v>0</x:v>
      </x:c>
      <x:c r="H74" s="53" t="n">
        <x:f>IF(C74=0,0,D74/C74)</x:f>
        <x:v>0</x:v>
      </x:c>
      <x:c r="I74" s="53" t="n">
        <x:f>IF(C74=0,0,(D74-F74)/C74)</x:f>
        <x:v>0</x:v>
      </x:c>
      <x:c r="J74"/>
      <x:c r="K74"/>
      <x:c r="L74" t="str"/>
      <x:c r="M74" t="str"/>
      <x:c r="N74" t="str"/>
    </x:row>
    <x:row r="75">
      <x:c r="A75" t="str">
        <x:v>SRC-071</x:v>
      </x:c>
      <x:c r="B75" t="str">
        <x:v>Tech Startups</x:v>
      </x:c>
      <x:c r="C75" t="n">
        <x:v>0</x:v>
      </x:c>
      <x:c r="D75" t="n">
        <x:v>0</x:v>
      </x:c>
      <x:c r="E75" t="n">
        <x:v>0</x:v>
      </x:c>
      <x:c r="F75" t="n">
        <x:v>0</x:v>
      </x:c>
      <x:c r="G75" t="n">
        <x:v>0</x:v>
      </x:c>
      <x:c r="H75" s="53" t="n">
        <x:f>IF(C75=0,0,D75/C75)</x:f>
        <x:v>0</x:v>
      </x:c>
      <x:c r="I75" s="53" t="n">
        <x:f>IF(C75=0,0,(D75-F75)/C75)</x:f>
        <x:v>0</x:v>
      </x:c>
      <x:c r="J75"/>
      <x:c r="K75"/>
      <x:c r="L75" t="str"/>
      <x:c r="M75" t="str"/>
      <x:c r="N75" t="str"/>
    </x:row>
    <x:row r="76">
      <x:c r="A76" t="str">
        <x:v>SRC-072</x:v>
      </x:c>
      <x:c r="B76" t="str">
        <x:v>TechCrunch</x:v>
      </x:c>
      <x:c r="C76" t="n">
        <x:v>0</x:v>
      </x:c>
      <x:c r="D76" t="n">
        <x:v>0</x:v>
      </x:c>
      <x:c r="E76" t="n">
        <x:v>0</x:v>
      </x:c>
      <x:c r="F76" t="n">
        <x:v>0</x:v>
      </x:c>
      <x:c r="G76" t="n">
        <x:v>0</x:v>
      </x:c>
      <x:c r="H76" s="53" t="n">
        <x:f>IF(C76=0,0,D76/C76)</x:f>
        <x:v>0</x:v>
      </x:c>
      <x:c r="I76" s="53" t="n">
        <x:f>IF(C76=0,0,(D76-F76)/C76)</x:f>
        <x:v>0</x:v>
      </x:c>
      <x:c r="J76"/>
      <x:c r="K76"/>
      <x:c r="L76" t="str"/>
      <x:c r="M76" t="str"/>
      <x:c r="N76" t="str"/>
    </x:row>
    <x:row r="77">
      <x:c r="A77" t="str">
        <x:v>SRC-073</x:v>
      </x:c>
      <x:c r="B77" t="str">
        <x:v>Techmeme</x:v>
      </x:c>
      <x:c r="C77" t="n">
        <x:v>0</x:v>
      </x:c>
      <x:c r="D77" t="n">
        <x:v>0</x:v>
      </x:c>
      <x:c r="E77" t="n">
        <x:v>0</x:v>
      </x:c>
      <x:c r="F77" t="n">
        <x:v>0</x:v>
      </x:c>
      <x:c r="G77" t="n">
        <x:v>0</x:v>
      </x:c>
      <x:c r="H77" s="53" t="n">
        <x:f>IF(C77=0,0,D77/C77)</x:f>
        <x:v>0</x:v>
      </x:c>
      <x:c r="I77" s="53" t="n">
        <x:f>IF(C77=0,0,(D77-F77)/C77)</x:f>
        <x:v>0</x:v>
      </x:c>
      <x:c r="J77"/>
      <x:c r="K77"/>
      <x:c r="L77" t="str"/>
      <x:c r="M77" t="str"/>
      <x:c r="N77" t="str"/>
    </x:row>
    <x:row r="78">
      <x:c r="A78" t="str">
        <x:v>SRC-074</x:v>
      </x:c>
      <x:c r="B78" t="str">
        <x:v>TechRepublic</x:v>
      </x:c>
      <x:c r="C78" t="n">
        <x:v>0</x:v>
      </x:c>
      <x:c r="D78" t="n">
        <x:v>0</x:v>
      </x:c>
      <x:c r="E78" t="n">
        <x:v>0</x:v>
      </x:c>
      <x:c r="F78" t="n">
        <x:v>0</x:v>
      </x:c>
      <x:c r="G78" t="n">
        <x:v>0</x:v>
      </x:c>
      <x:c r="H78" s="53" t="n">
        <x:f>IF(C78=0,0,D78/C78)</x:f>
        <x:v>0</x:v>
      </x:c>
      <x:c r="I78" s="53" t="n">
        <x:f>IF(C78=0,0,(D78-F78)/C78)</x:f>
        <x:v>0</x:v>
      </x:c>
      <x:c r="J78"/>
      <x:c r="K78"/>
      <x:c r="L78" t="str"/>
      <x:c r="M78" t="str"/>
      <x:c r="N78" t="str"/>
    </x:row>
    <x:row r="79">
      <x:c r="A79" t="str">
        <x:v>SRC-075</x:v>
      </x:c>
      <x:c r="B79" t="str">
        <x:v>The AI Daily Brief</x:v>
      </x:c>
      <x:c r="C79" t="n">
        <x:v>0</x:v>
      </x:c>
      <x:c r="D79" t="n">
        <x:v>0</x:v>
      </x:c>
      <x:c r="E79" t="n">
        <x:v>0</x:v>
      </x:c>
      <x:c r="F79" t="n">
        <x:v>0</x:v>
      </x:c>
      <x:c r="G79" t="n">
        <x:v>0</x:v>
      </x:c>
      <x:c r="H79" s="53" t="n">
        <x:f>IF(C79=0,0,D79/C79)</x:f>
        <x:v>0</x:v>
      </x:c>
      <x:c r="I79" s="53" t="n">
        <x:f>IF(C79=0,0,(D79-F79)/C79)</x:f>
        <x:v>0</x:v>
      </x:c>
      <x:c r="J79"/>
      <x:c r="K79"/>
      <x:c r="L79" t="str"/>
      <x:c r="M79" t="str"/>
      <x:c r="N79" t="str"/>
    </x:row>
    <x:row r="80">
      <x:c r="A80" t="str">
        <x:v>SRC-076</x:v>
      </x:c>
      <x:c r="B80" t="str">
        <x:v>The Economist</x:v>
      </x:c>
      <x:c r="C80" t="n">
        <x:v>0</x:v>
      </x:c>
      <x:c r="D80" t="n">
        <x:v>0</x:v>
      </x:c>
      <x:c r="E80" t="n">
        <x:v>0</x:v>
      </x:c>
      <x:c r="F80" t="n">
        <x:v>0</x:v>
      </x:c>
      <x:c r="G80" t="n">
        <x:v>0</x:v>
      </x:c>
      <x:c r="H80" s="53" t="n">
        <x:f>IF(C80=0,0,D80/C80)</x:f>
        <x:v>0</x:v>
      </x:c>
      <x:c r="I80" s="53" t="n">
        <x:f>IF(C80=0,0,(D80-F80)/C80)</x:f>
        <x:v>0</x:v>
      </x:c>
      <x:c r="J80"/>
      <x:c r="K80"/>
      <x:c r="L80" t="str"/>
      <x:c r="M80" t="str"/>
      <x:c r="N80" t="str"/>
    </x:row>
    <x:row r="81">
      <x:c r="A81" t="str">
        <x:v>SRC-077</x:v>
      </x:c>
      <x:c r="B81" t="str">
        <x:v>The Hans India</x:v>
      </x:c>
      <x:c r="C81" t="n">
        <x:v>0</x:v>
      </x:c>
      <x:c r="D81" t="n">
        <x:v>0</x:v>
      </x:c>
      <x:c r="E81" t="n">
        <x:v>0</x:v>
      </x:c>
      <x:c r="F81" t="n">
        <x:v>0</x:v>
      </x:c>
      <x:c r="G81" t="n">
        <x:v>0</x:v>
      </x:c>
      <x:c r="H81" s="53" t="n">
        <x:f>IF(C81=0,0,D81/C81)</x:f>
        <x:v>0</x:v>
      </x:c>
      <x:c r="I81" s="53" t="n">
        <x:f>IF(C81=0,0,(D81-F81)/C81)</x:f>
        <x:v>0</x:v>
      </x:c>
      <x:c r="J81"/>
      <x:c r="K81"/>
      <x:c r="L81" t="str"/>
      <x:c r="M81" t="str"/>
      <x:c r="N81" t="str"/>
    </x:row>
    <x:row r="82">
      <x:c r="A82" t="str">
        <x:v>SRC-078</x:v>
      </x:c>
      <x:c r="B82" t="str">
        <x:v>The Information</x:v>
      </x:c>
      <x:c r="C82" t="n">
        <x:v>0</x:v>
      </x:c>
      <x:c r="D82" t="n">
        <x:v>0</x:v>
      </x:c>
      <x:c r="E82" t="n">
        <x:v>0</x:v>
      </x:c>
      <x:c r="F82" t="n">
        <x:v>0</x:v>
      </x:c>
      <x:c r="G82" t="n">
        <x:v>0</x:v>
      </x:c>
      <x:c r="H82" s="53" t="n">
        <x:f>IF(C82=0,0,D82/C82)</x:f>
        <x:v>0</x:v>
      </x:c>
      <x:c r="I82" s="53" t="n">
        <x:f>IF(C82=0,0,(D82-F82)/C82)</x:f>
        <x:v>0</x:v>
      </x:c>
      <x:c r="J82"/>
      <x:c r="K82"/>
      <x:c r="L82" t="str"/>
      <x:c r="M82" t="str"/>
      <x:c r="N82" t="str"/>
    </x:row>
    <x:row r="83">
      <x:c r="A83" t="str">
        <x:v>SRC-079</x:v>
      </x:c>
      <x:c r="B83" t="str">
        <x:v>The Neuron</x:v>
      </x:c>
      <x:c r="C83" t="n">
        <x:v>0</x:v>
      </x:c>
      <x:c r="D83" t="n">
        <x:v>0</x:v>
      </x:c>
      <x:c r="E83" t="n">
        <x:v>0</x:v>
      </x:c>
      <x:c r="F83" t="n">
        <x:v>0</x:v>
      </x:c>
      <x:c r="G83" t="n">
        <x:v>0</x:v>
      </x:c>
      <x:c r="H83" s="53" t="n">
        <x:f>IF(C83=0,0,D83/C83)</x:f>
        <x:v>0</x:v>
      </x:c>
      <x:c r="I83" s="53" t="n">
        <x:f>IF(C83=0,0,(D83-F83)/C83)</x:f>
        <x:v>0</x:v>
      </x:c>
      <x:c r="J83"/>
      <x:c r="K83"/>
      <x:c r="L83" t="str"/>
      <x:c r="M83" t="str"/>
      <x:c r="N83" t="str"/>
    </x:row>
    <x:row r="84">
      <x:c r="A84" t="str">
        <x:v>SRC-080</x:v>
      </x:c>
      <x:c r="B84" t="str">
        <x:v>The New Stack</x:v>
      </x:c>
      <x:c r="C84" t="n">
        <x:v>0</x:v>
      </x:c>
      <x:c r="D84" t="n">
        <x:v>0</x:v>
      </x:c>
      <x:c r="E84" t="n">
        <x:v>0</x:v>
      </x:c>
      <x:c r="F84" t="n">
        <x:v>0</x:v>
      </x:c>
      <x:c r="G84" t="n">
        <x:v>0</x:v>
      </x:c>
      <x:c r="H84" s="53" t="n">
        <x:f>IF(C84=0,0,D84/C84)</x:f>
        <x:v>0</x:v>
      </x:c>
      <x:c r="I84" s="53" t="n">
        <x:f>IF(C84=0,0,(D84-F84)/C84)</x:f>
        <x:v>0</x:v>
      </x:c>
      <x:c r="J84"/>
      <x:c r="K84"/>
      <x:c r="L84" t="str"/>
      <x:c r="M84" t="str"/>
      <x:c r="N84" t="str"/>
    </x:row>
    <x:row r="85">
      <x:c r="A85" t="str">
        <x:v>SRC-081</x:v>
      </x:c>
      <x:c r="B85" t="str">
        <x:v>The New York Times</x:v>
      </x:c>
      <x:c r="C85" t="n">
        <x:v>0</x:v>
      </x:c>
      <x:c r="D85" t="n">
        <x:v>0</x:v>
      </x:c>
      <x:c r="E85" t="n">
        <x:v>0</x:v>
      </x:c>
      <x:c r="F85" t="n">
        <x:v>0</x:v>
      </x:c>
      <x:c r="G85" t="n">
        <x:v>0</x:v>
      </x:c>
      <x:c r="H85" s="53" t="n">
        <x:f>IF(C85=0,0,D85/C85)</x:f>
        <x:v>0</x:v>
      </x:c>
      <x:c r="I85" s="53" t="n">
        <x:f>IF(C85=0,0,(D85-F85)/C85)</x:f>
        <x:v>0</x:v>
      </x:c>
      <x:c r="J85"/>
      <x:c r="K85"/>
      <x:c r="L85" t="str"/>
      <x:c r="M85" t="str"/>
      <x:c r="N85" t="str"/>
    </x:row>
    <x:row r="86">
      <x:c r="A86" t="str">
        <x:v>SRC-082</x:v>
      </x:c>
      <x:c r="B86" t="str">
        <x:v>The Rundown AI</x:v>
      </x:c>
      <x:c r="C86" t="n">
        <x:v>0</x:v>
      </x:c>
      <x:c r="D86" t="n">
        <x:v>0</x:v>
      </x:c>
      <x:c r="E86" t="n">
        <x:v>0</x:v>
      </x:c>
      <x:c r="F86" t="n">
        <x:v>0</x:v>
      </x:c>
      <x:c r="G86" t="n">
        <x:v>0</x:v>
      </x:c>
      <x:c r="H86" s="53" t="n">
        <x:f>IF(C86=0,0,D86/C86)</x:f>
        <x:v>0</x:v>
      </x:c>
      <x:c r="I86" s="53" t="n">
        <x:f>IF(C86=0,0,(D86-F86)/C86)</x:f>
        <x:v>0</x:v>
      </x:c>
      <x:c r="J86"/>
      <x:c r="K86"/>
      <x:c r="L86" t="str"/>
      <x:c r="M86" t="str"/>
      <x:c r="N86" t="str"/>
    </x:row>
    <x:row r="87">
      <x:c r="A87" t="str">
        <x:v>SRC-083</x:v>
      </x:c>
      <x:c r="B87" t="str">
        <x:v>The Verge</x:v>
      </x:c>
      <x:c r="C87" t="n">
        <x:v>0</x:v>
      </x:c>
      <x:c r="D87" t="n">
        <x:v>0</x:v>
      </x:c>
      <x:c r="E87" t="n">
        <x:v>0</x:v>
      </x:c>
      <x:c r="F87" t="n">
        <x:v>0</x:v>
      </x:c>
      <x:c r="G87" t="n">
        <x:v>0</x:v>
      </x:c>
      <x:c r="H87" s="53" t="n">
        <x:f>IF(C87=0,0,D87/C87)</x:f>
        <x:v>0</x:v>
      </x:c>
      <x:c r="I87" s="53" t="n">
        <x:f>IF(C87=0,0,(D87-F87)/C87)</x:f>
        <x:v>0</x:v>
      </x:c>
      <x:c r="J87"/>
      <x:c r="K87"/>
      <x:c r="L87" t="str"/>
      <x:c r="M87" t="str"/>
      <x:c r="N87" t="str"/>
    </x:row>
    <x:row r="88">
      <x:c r="A88" t="str">
        <x:v>SRC-084</x:v>
      </x:c>
      <x:c r="B88" t="str">
        <x:v>The Wall Street Journal</x:v>
      </x:c>
      <x:c r="C88" t="n">
        <x:v>0</x:v>
      </x:c>
      <x:c r="D88" t="n">
        <x:v>0</x:v>
      </x:c>
      <x:c r="E88" t="n">
        <x:v>0</x:v>
      </x:c>
      <x:c r="F88" t="n">
        <x:v>0</x:v>
      </x:c>
      <x:c r="G88" t="n">
        <x:v>0</x:v>
      </x:c>
      <x:c r="H88" s="53" t="n">
        <x:f>IF(C88=0,0,D88/C88)</x:f>
        <x:v>0</x:v>
      </x:c>
      <x:c r="I88" s="53" t="n">
        <x:f>IF(C88=0,0,(D88-F88)/C88)</x:f>
        <x:v>0</x:v>
      </x:c>
      <x:c r="J88"/>
      <x:c r="K88"/>
      <x:c r="L88" t="str"/>
      <x:c r="M88" t="str"/>
      <x:c r="N88" t="str"/>
    </x:row>
    <x:row r="89">
      <x:c r="A89" t="str">
        <x:v>SRC-085</x:v>
      </x:c>
      <x:c r="B89" t="str">
        <x:v>TheStreet</x:v>
      </x:c>
      <x:c r="C89" t="n">
        <x:v>0</x:v>
      </x:c>
      <x:c r="D89" t="n">
        <x:v>0</x:v>
      </x:c>
      <x:c r="E89" t="n">
        <x:v>0</x:v>
      </x:c>
      <x:c r="F89" t="n">
        <x:v>0</x:v>
      </x:c>
      <x:c r="G89" t="n">
        <x:v>0</x:v>
      </x:c>
      <x:c r="H89" s="53" t="n">
        <x:f>IF(C89=0,0,D89/C89)</x:f>
        <x:v>0</x:v>
      </x:c>
      <x:c r="I89" s="53" t="n">
        <x:f>IF(C89=0,0,(D89-F89)/C89)</x:f>
        <x:v>0</x:v>
      </x:c>
      <x:c r="J89"/>
      <x:c r="K89"/>
      <x:c r="L89" t="str"/>
      <x:c r="M89" t="str"/>
      <x:c r="N89" t="str"/>
    </x:row>
    <x:row r="90">
      <x:c r="A90" t="str">
        <x:v>SRC-086</x:v>
      </x:c>
      <x:c r="B90" t="str">
        <x:v>ThursdAI</x:v>
      </x:c>
      <x:c r="C90" t="n">
        <x:v>0</x:v>
      </x:c>
      <x:c r="D90" t="n">
        <x:v>0</x:v>
      </x:c>
      <x:c r="E90" t="n">
        <x:v>0</x:v>
      </x:c>
      <x:c r="F90" t="n">
        <x:v>0</x:v>
      </x:c>
      <x:c r="G90" t="n">
        <x:v>0</x:v>
      </x:c>
      <x:c r="H90" s="53" t="n">
        <x:f>IF(C90=0,0,D90/C90)</x:f>
        <x:v>0</x:v>
      </x:c>
      <x:c r="I90" s="53" t="n">
        <x:f>IF(C90=0,0,(D90-F90)/C90)</x:f>
        <x:v>0</x:v>
      </x:c>
      <x:c r="J90"/>
      <x:c r="K90"/>
      <x:c r="L90" t="str"/>
      <x:c r="M90" t="str"/>
      <x:c r="N90" t="str"/>
    </x:row>
    <x:row r="91">
      <x:c r="A91" t="str">
        <x:v>SRC-087</x:v>
      </x:c>
      <x:c r="B91" t="str">
        <x:v>TLDR AI</x:v>
      </x:c>
      <x:c r="C91" t="n">
        <x:v>0</x:v>
      </x:c>
      <x:c r="D91" t="n">
        <x:v>0</x:v>
      </x:c>
      <x:c r="E91" t="n">
        <x:v>0</x:v>
      </x:c>
      <x:c r="F91" t="n">
        <x:v>0</x:v>
      </x:c>
      <x:c r="G91" t="n">
        <x:v>0</x:v>
      </x:c>
      <x:c r="H91" s="53" t="n">
        <x:f>IF(C91=0,0,D91/C91)</x:f>
        <x:v>0</x:v>
      </x:c>
      <x:c r="I91" s="53" t="n">
        <x:f>IF(C91=0,0,(D91-F91)/C91)</x:f>
        <x:v>0</x:v>
      </x:c>
      <x:c r="J91"/>
      <x:c r="K91"/>
      <x:c r="L91" t="str"/>
      <x:c r="M91" t="str"/>
      <x:c r="N91" t="str"/>
    </x:row>
    <x:row r="92">
      <x:c r="A92" t="str">
        <x:v>SRC-088</x:v>
      </x:c>
      <x:c r="B92" t="str">
        <x:v>Tom's Hardware</x:v>
      </x:c>
      <x:c r="C92" t="n">
        <x:v>0</x:v>
      </x:c>
      <x:c r="D92" t="n">
        <x:v>0</x:v>
      </x:c>
      <x:c r="E92" t="n">
        <x:v>0</x:v>
      </x:c>
      <x:c r="F92" t="n">
        <x:v>0</x:v>
      </x:c>
      <x:c r="G92" t="n">
        <x:v>0</x:v>
      </x:c>
      <x:c r="H92" s="53" t="n">
        <x:f>IF(C92=0,0,D92/C92)</x:f>
        <x:v>0</x:v>
      </x:c>
      <x:c r="I92" s="53" t="n">
        <x:f>IF(C92=0,0,(D92-F92)/C92)</x:f>
        <x:v>0</x:v>
      </x:c>
      <x:c r="J92"/>
      <x:c r="K92"/>
      <x:c r="L92" t="str"/>
      <x:c r="M92" t="str"/>
      <x:c r="N92" t="str"/>
    </x:row>
    <x:row r="93">
      <x:c r="A93" t="str">
        <x:v>SRC-089</x:v>
      </x:c>
      <x:c r="B93" t="str">
        <x:v>Transparency Coalition</x:v>
      </x:c>
      <x:c r="C93" t="n">
        <x:v>0</x:v>
      </x:c>
      <x:c r="D93" t="n">
        <x:v>0</x:v>
      </x:c>
      <x:c r="E93" t="n">
        <x:v>0</x:v>
      </x:c>
      <x:c r="F93" t="n">
        <x:v>0</x:v>
      </x:c>
      <x:c r="G93" t="n">
        <x:v>0</x:v>
      </x:c>
      <x:c r="H93" s="53" t="n">
        <x:f>IF(C93=0,0,D93/C93)</x:f>
        <x:v>0</x:v>
      </x:c>
      <x:c r="I93" s="53" t="n">
        <x:f>IF(C93=0,0,(D93-F93)/C93)</x:f>
        <x:v>0</x:v>
      </x:c>
      <x:c r="J93"/>
      <x:c r="K93"/>
      <x:c r="L93" t="str"/>
      <x:c r="M93" t="str"/>
      <x:c r="N93" t="str"/>
    </x:row>
    <x:row r="94">
      <x:c r="A94" t="str">
        <x:v>SRC-090</x:v>
      </x:c>
      <x:c r="B94" t="str">
        <x:v>UN News</x:v>
      </x:c>
      <x:c r="C94" t="n">
        <x:v>0</x:v>
      </x:c>
      <x:c r="D94" t="n">
        <x:v>0</x:v>
      </x:c>
      <x:c r="E94" t="n">
        <x:v>0</x:v>
      </x:c>
      <x:c r="F94" t="n">
        <x:v>0</x:v>
      </x:c>
      <x:c r="G94" t="n">
        <x:v>0</x:v>
      </x:c>
      <x:c r="H94" s="53" t="n">
        <x:f>IF(C94=0,0,D94/C94)</x:f>
        <x:v>0</x:v>
      </x:c>
      <x:c r="I94" s="53" t="n">
        <x:f>IF(C94=0,0,(D94-F94)/C94)</x:f>
        <x:v>0</x:v>
      </x:c>
      <x:c r="J94"/>
      <x:c r="K94"/>
      <x:c r="L94" t="str"/>
      <x:c r="M94" t="str"/>
      <x:c r="N94" t="str"/>
    </x:row>
    <x:row r="95">
      <x:c r="A95" t="str">
        <x:v>SRC-091</x:v>
      </x:c>
      <x:c r="B95" t="str">
        <x:v>VentureBeat</x:v>
      </x:c>
      <x:c r="C95" t="n">
        <x:v>0</x:v>
      </x:c>
      <x:c r="D95" t="n">
        <x:v>0</x:v>
      </x:c>
      <x:c r="E95" t="n">
        <x:v>0</x:v>
      </x:c>
      <x:c r="F95" t="n">
        <x:v>0</x:v>
      </x:c>
      <x:c r="G95" t="n">
        <x:v>0</x:v>
      </x:c>
      <x:c r="H95" s="53" t="n">
        <x:f>IF(C95=0,0,D95/C95)</x:f>
        <x:v>0</x:v>
      </x:c>
      <x:c r="I95" s="53" t="n">
        <x:f>IF(C95=0,0,(D95-F95)/C95)</x:f>
        <x:v>0</x:v>
      </x:c>
      <x:c r="J95"/>
      <x:c r="K95"/>
      <x:c r="L95" t="str"/>
      <x:c r="M95" t="str"/>
      <x:c r="N95" t="str"/>
    </x:row>
    <x:row r="96">
      <x:c r="A96" t="str">
        <x:v>SRC-092</x:v>
      </x:c>
      <x:c r="B96" t="str">
        <x:v>Wikipedia</x:v>
      </x:c>
      <x:c r="C96" t="n">
        <x:v>0</x:v>
      </x:c>
      <x:c r="D96" t="n">
        <x:v>0</x:v>
      </x:c>
      <x:c r="E96" t="n">
        <x:v>0</x:v>
      </x:c>
      <x:c r="F96" t="n">
        <x:v>0</x:v>
      </x:c>
      <x:c r="G96" t="n">
        <x:v>0</x:v>
      </x:c>
      <x:c r="H96" s="53" t="n">
        <x:f>IF(C96=0,0,D96/C96)</x:f>
        <x:v>0</x:v>
      </x:c>
      <x:c r="I96" s="53" t="n">
        <x:f>IF(C96=0,0,(D96-F96)/C96)</x:f>
        <x:v>0</x:v>
      </x:c>
      <x:c r="J96"/>
      <x:c r="K96"/>
      <x:c r="L96" t="str"/>
      <x:c r="M96" t="str"/>
      <x:c r="N96" t="str"/>
    </x:row>
    <x:row r="97">
      <x:c r="A97" t="str">
        <x:v>SRC-093</x:v>
      </x:c>
      <x:c r="B97" t="str">
        <x:v>WIRED</x:v>
      </x:c>
      <x:c r="C97" t="n">
        <x:v>0</x:v>
      </x:c>
      <x:c r="D97" t="n">
        <x:v>0</x:v>
      </x:c>
      <x:c r="E97" t="n">
        <x:v>0</x:v>
      </x:c>
      <x:c r="F97" t="n">
        <x:v>0</x:v>
      </x:c>
      <x:c r="G97" t="n">
        <x:v>0</x:v>
      </x:c>
      <x:c r="H97" s="53" t="n">
        <x:f>IF(C97=0,0,D97/C97)</x:f>
        <x:v>0</x:v>
      </x:c>
      <x:c r="I97" s="53" t="n">
        <x:f>IF(C97=0,0,(D97-F97)/C97)</x:f>
        <x:v>0</x:v>
      </x:c>
      <x:c r="J97"/>
      <x:c r="K97"/>
      <x:c r="L97" t="str"/>
      <x:c r="M97" t="str"/>
      <x:c r="N97" t="str"/>
    </x:row>
    <x:row r="98">
      <x:c r="A98" t="str">
        <x:v>SRC-094</x:v>
      </x:c>
      <x:c r="B98" t="str">
        <x:v>WTTW Chicago</x:v>
      </x:c>
      <x:c r="C98" t="n">
        <x:v>0</x:v>
      </x:c>
      <x:c r="D98" t="n">
        <x:v>0</x:v>
      </x:c>
      <x:c r="E98" t="n">
        <x:v>0</x:v>
      </x:c>
      <x:c r="F98" t="n">
        <x:v>0</x:v>
      </x:c>
      <x:c r="G98" t="n">
        <x:v>0</x:v>
      </x:c>
      <x:c r="H98" s="53" t="n">
        <x:f>IF(C98=0,0,D98/C98)</x:f>
        <x:v>0</x:v>
      </x:c>
      <x:c r="I98" s="53" t="n">
        <x:f>IF(C98=0,0,(D98-F98)/C98)</x:f>
        <x:v>0</x:v>
      </x:c>
      <x:c r="J98"/>
      <x:c r="K98"/>
      <x:c r="L98" t="str"/>
      <x:c r="M98" t="str"/>
      <x:c r="N98" t="str"/>
    </x:row>
    <x:row r="99">
      <x:c r="A99" t="str">
        <x:v>SRC-095</x:v>
      </x:c>
      <x:c r="B99" t="str">
        <x:v>xAI</x:v>
      </x:c>
      <x:c r="C99" t="n">
        <x:v>0</x:v>
      </x:c>
      <x:c r="D99" t="n">
        <x:v>0</x:v>
      </x:c>
      <x:c r="E99" t="n">
        <x:v>0</x:v>
      </x:c>
      <x:c r="F99" t="n">
        <x:v>0</x:v>
      </x:c>
      <x:c r="G99" t="n">
        <x:v>0</x:v>
      </x:c>
      <x:c r="H99" s="53" t="n">
        <x:f>IF(C99=0,0,D99/C99)</x:f>
        <x:v>0</x:v>
      </x:c>
      <x:c r="I99" s="53" t="n">
        <x:f>IF(C99=0,0,(D99-F99)/C99)</x:f>
        <x:v>0</x:v>
      </x:c>
      <x:c r="J99"/>
      <x:c r="K99"/>
      <x:c r="L99" t="str"/>
      <x:c r="M99" t="str"/>
      <x:c r="N99" t="str"/>
    </x:row>
    <x:row r="100">
      <x:c r="A100" t="str">
        <x:v>SRC-096</x:v>
      </x:c>
      <x:c r="B100" t="str">
        <x:v>ZDNET</x:v>
      </x:c>
      <x:c r="C100" t="n">
        <x:v>0</x:v>
      </x:c>
      <x:c r="D100" t="n">
        <x:v>0</x:v>
      </x:c>
      <x:c r="E100" t="n">
        <x:v>0</x:v>
      </x:c>
      <x:c r="F100" t="n">
        <x:v>0</x:v>
      </x:c>
      <x:c r="G100" t="n">
        <x:v>0</x:v>
      </x:c>
      <x:c r="H100" s="53" t="n">
        <x:f>IF(C100=0,0,D100/C100)</x:f>
        <x:v>0</x:v>
      </x:c>
      <x:c r="I100" s="53" t="n">
        <x:f>IF(C100=0,0,(D100-F100)/C100)</x:f>
        <x:v>0</x:v>
      </x:c>
      <x:c r="J100"/>
      <x:c r="K100"/>
      <x:c r="L100" t="str"/>
      <x:c r="M100" t="str"/>
      <x:c r="N100" t="str"/>
    </x:row>
    <x:row r="101">
      <x:c r="A101" t="str">
        <x:v>SRC-097</x:v>
      </x:c>
      <x:c r="B101" t="str">
        <x:v>ZoneTechify</x:v>
      </x:c>
      <x:c r="C101" t="n">
        <x:v>0</x:v>
      </x:c>
      <x:c r="D101" t="n">
        <x:v>0</x:v>
      </x:c>
      <x:c r="E101" t="n">
        <x:v>0</x:v>
      </x:c>
      <x:c r="F101" t="n">
        <x:v>0</x:v>
      </x:c>
      <x:c r="G101" t="n">
        <x:v>0</x:v>
      </x:c>
      <x:c r="H101" s="53" t="n">
        <x:f>IF(C101=0,0,D101/C101)</x:f>
        <x:v>0</x:v>
      </x:c>
      <x:c r="I101" s="53" t="n">
        <x:f>IF(C101=0,0,(D101-F101)/C101)</x:f>
        <x:v>0</x:v>
      </x:c>
      <x:c r="J101"/>
      <x:c r="K101"/>
      <x:c r="L101" t="str"/>
      <x:c r="M101" t="str"/>
      <x:c r="N101" t="str"/>
    </x:row>
  </x:sheetData>
  <x:mergeCells>
    <x:mergeCell ref="A1:N1"/>
    <x:mergeCell ref="A2:N2"/>
  </x:mergeCells>
  <x:dataValidations count="2">
    <x:dataValidation type="list" sqref="M5:M101">
      <x:formula1>",Promote,Keep,Watch,Demote,Exclude,Verify"</x:formula1>
    </x:dataValidation>
    <x:dataValidation type="list" sqref="N5:N101">
      <x:formula1>",Approved,Rejected,Deferred"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55" hidden="0" customWidth="1"/>
    <x:col min="4" max="4" width="42" hidden="0" customWidth="1"/>
    <x:col min="5" max="5" width="34" hidden="0" customWidth="1"/>
    <x:col min="6" max="6" width="38" hidden="0" customWidth="1"/>
    <x:col min="7" max="7" width="14" hidden="0" customWidth="1"/>
  </x:cols>
  <x:sheetData>
    <x:row r="1">
      <x:c r="A1" s="31" t="str">
        <x:v>Project Reconciliation — Decisions That Should Update the GitHub Roadmap</x:v>
      </x:c>
      <x:c r="B1" s="31"/>
      <x:c r="C1" s="31"/>
      <x:c r="D1" s="31"/>
      <x:c r="E1" s="31"/>
      <x:c r="F1" s="31"/>
      <x:c r="G1" s="31"/>
    </x:row>
    <x:row r="3">
      <x:c r="A3" s="45" t="str">
        <x:v>Topic</x:v>
      </x:c>
      <x:c r="B3" s="45" t="str">
        <x:v>Prior Roadmap State</x:v>
      </x:c>
      <x:c r="C3" s="45" t="str">
        <x:v>Current Decision</x:v>
      </x:c>
      <x:c r="D3" s="45" t="str">
        <x:v>Action</x:v>
      </x:c>
      <x:c r="E3" s="45" t="str">
        <x:v>Affected Issues / Docs</x:v>
      </x:c>
      <x:c r="F3" s="45" t="str">
        <x:v>Build Effect</x:v>
      </x:c>
      <x:c r="G3" s="45" t="str">
        <x:v>Status</x:v>
      </x:c>
    </x:row>
    <x:row r="4">
      <x:c r="A4" s="51" t="str">
        <x:v>System name</x:v>
      </x:c>
      <x:c r="B4" s="51" t="str">
        <x:v>ANWU</x:v>
      </x:c>
      <x:c r="C4" s="51" t="str">
        <x:v>Use AINWA going forward; preserve existing ANWU-* issue IDs to avoid churn.</x:v>
      </x:c>
      <x:c r="D4" s="51" t="str">
        <x:v>Rename terminology in docs/UI when touched.</x:v>
      </x:c>
      <x:c r="E4" s="51" t="str">
        <x:v>ANWU-SPEC; ANWU-001…014</x:v>
      </x:c>
      <x:c r="F4" s="51" t="str">
        <x:v>Naming only; no schema migration required.</x:v>
      </x:c>
      <x:c r="G4" s="51" t="str">
        <x:v>Decision</x:v>
      </x:c>
    </x:row>
    <x:row r="5">
      <x:c r="A5" s="51" t="str">
        <x:v>Reader-facing RSS</x:v>
      </x:c>
      <x:c r="B5" s="51" t="str">
        <x:v>Master plan/ARCH-002 included RSS generation.</x:v>
      </x:c>
      <x:c r="C5" s="51" t="str">
        <x:v>Do not build reader-facing AInetWatch RSS.</x:v>
      </x:c>
      <x:c r="D5" s="51" t="str">
        <x:v>Close or rewrite output-RSS task; remove RSS from publishing acceptance criteria.</x:v>
      </x:c>
      <x:c r="E5" s="51" t="str">
        <x:v>RSS-001; ARCH-002; ANWU-SPEC publishing section</x:v>
      </x:c>
      <x:c r="F5" s="51" t="str">
        <x:v>Removes feed-generation output.</x:v>
      </x:c>
      <x:c r="G5" s="51" t="str">
        <x:v>Decision</x:v>
      </x:c>
    </x:row>
    <x:row r="6">
      <x:c r="A6" s="51" t="str">
        <x:v>RSS for discovery</x:v>
      </x:c>
      <x:c r="B6" s="51" t="str">
        <x:v>Not separated from output RSS.</x:v>
      </x:c>
      <x:c r="C6" s="51" t="str">
        <x:v>Allow free publisher RSS/feeds as AINWA discovery inputs.</x:v>
      </x:c>
      <x:c r="D6" s="51" t="str">
        <x:v>Add sourcing/feed-ingestion requirement under AINWA discovery.</x:v>
      </x:c>
      <x:c r="E6" s="51" t="str">
        <x:v>ANWU-002; ANWU-010</x:v>
      </x:c>
      <x:c r="F6" s="51" t="str">
        <x:v>Reduces polling/token cost.</x:v>
      </x:c>
      <x:c r="G6" s="51" t="str">
        <x:v>Decision</x:v>
      </x:c>
    </x:row>
    <x:row r="7">
      <x:c r="A7" s="51" t="str">
        <x:v>Homepage search</x:v>
      </x:c>
      <x:c r="B7" s="51" t="str">
        <x:v>Original plan included static search.</x:v>
      </x:c>
      <x:c r="C7" s="51" t="str">
        <x:v>Removed from homepage scope.</x:v>
      </x:c>
      <x:c r="D7" s="51" t="str">
        <x:v>Keep out of current build; reconcile legacy search task/docs.</x:v>
      </x:c>
      <x:c r="E7" s="51" t="str">
        <x:v>SEARCH-001; MASTER-PLAN / PRODUCT-SPEC</x:v>
      </x:c>
      <x:c r="F7" s="51" t="str">
        <x:v>No search UI/index requirement for homepage.</x:v>
      </x:c>
      <x:c r="G7" s="51" t="str">
        <x:v>Decision</x:v>
      </x:c>
    </x:row>
    <x:row r="8">
      <x:c r="A8" s="51" t="str">
        <x:v>Email / mailing list</x:v>
      </x:c>
      <x:c r="B8" s="51" t="str">
        <x:v>Original audience phase included email signup/digests.</x:v>
      </x:c>
      <x:c r="C8" s="51" t="str">
        <x:v>Removed from homepage/current scope.</x:v>
      </x:c>
      <x:c r="D8" s="51" t="str">
        <x:v>Reconcile AUD-001..003 if still active.</x:v>
      </x:c>
      <x:c r="E8" s="51" t="str">
        <x:v>AUD-001..003; MASTER-PLAN</x:v>
      </x:c>
      <x:c r="F8" s="51" t="str">
        <x:v>No signup UI/provider dependency.</x:v>
      </x:c>
      <x:c r="G8" s="51" t="str">
        <x:v>Decision</x:v>
      </x:c>
    </x:row>
    <x:row r="9">
      <x:c r="A9" s="51" t="str">
        <x:v>Human approval</x:v>
      </x:c>
      <x:c r="B9" s="51" t="str">
        <x:v>Mandatory in ANWU spec.</x:v>
      </x:c>
      <x:c r="C9" s="51" t="str">
        <x:v>Retain: AI prepares; human approves source/headline/summary/category/priority together.</x:v>
      </x:c>
      <x:c r="D9" s="51" t="str">
        <x:v>Keep P0 and make central AINWA v1 milestone.</x:v>
      </x:c>
      <x:c r="E9" s="51" t="str">
        <x:v>ANWU-007; ANWU-008</x:v>
      </x:c>
      <x:c r="F9" s="51" t="str">
        <x:v>Defines publication boundary.</x:v>
      </x:c>
      <x:c r="G9" s="51" t="str">
        <x:v>Decision</x:v>
      </x:c>
    </x:row>
    <x:row r="10">
      <x:c r="A10" s="51" t="str">
        <x:v>Static publishing</x:v>
      </x:c>
      <x:c r="B10" s="51" t="str">
        <x:v>Approved queue → static HTML.</x:v>
      </x:c>
      <x:c r="C10" s="51" t="str">
        <x:v>Retain.</x:v>
      </x:c>
      <x:c r="D10" s="51" t="str">
        <x:v>Build deterministic outputs from approved records only.</x:v>
      </x:c>
      <x:c r="E10" s="51" t="str">
        <x:v>ARCH-002; ANWU-008</x:v>
      </x:c>
      <x:c r="F10" s="51" t="str">
        <x:v>No runtime AI/content dependency.</x:v>
      </x:c>
      <x:c r="G10" s="51" t="str">
        <x:v>Decision</x:v>
      </x:c>
    </x:row>
    <x:row r="11">
      <x:c r="A11" s="51" t="str">
        <x:v>Source registry</x:v>
      </x:c>
      <x:c r="B11" s="51" t="str">
        <x:v>Old plan had source type/reliability classification later in Phase 7.</x:v>
      </x:c>
      <x:c r="C11" s="51" t="str">
        <x:v>Move core registry/discovery policy into AINWA v1 because sourcing is first implementation target.</x:v>
      </x:c>
      <x:c r="D11" s="51" t="str">
        <x:v>Reprioritize source registry/feed ingestion before sophisticated clustering.</x:v>
      </x:c>
      <x:c r="E11" s="51" t="str">
        <x:v>ANWU-002; ANWU-010</x:v>
      </x:c>
      <x:c r="F11" s="51" t="str">
        <x:v>Creates cheap controlled discovery layer.</x:v>
      </x:c>
      <x:c r="G11" s="51" t="str">
        <x:v>Proposed</x:v>
      </x:c>
    </x:row>
    <x:row r="12">
      <x:c r="A12" s="51" t="str">
        <x:v>Source performance</x:v>
      </x:c>
      <x:c r="B12" s="51" t="str">
        <x:v>Not explicit.</x:v>
      </x:c>
      <x:c r="C12" s="51" t="str">
        <x:v>Track approvals/rejections per discovery source and suggest policy changes; never auto-change policy.</x:v>
      </x:c>
      <x:c r="D12" s="51" t="str">
        <x:v>Add later AINWA source-performance task.</x:v>
      </x:c>
      <x:c r="E12" s="51" t="str">
        <x:v>New issue likely</x:v>
      </x:c>
      <x:c r="F12" s="51" t="str">
        <x:v>Enables adaptive source quality without autonomous editorial policy.</x:v>
      </x:c>
      <x:c r="G12" s="51" t="str">
        <x:v>Proposed</x:v>
      </x:c>
    </x:row>
    <x:row r="13">
      <x:c r="A13" s="51" t="str">
        <x:v>Multilingual</x:v>
      </x:c>
      <x:c r="B13" s="51" t="str">
        <x:v>Future architecture only.</x:v>
      </x:c>
      <x:c r="C13" s="51" t="str">
        <x:v>Keep schema-ready; no visible selector or translations now.</x:v>
      </x:c>
      <x:c r="D13" s="51" t="str">
        <x:v>No immediate build change beyond preserving language-ready data model.</x:v>
      </x:c>
      <x:c r="E13" s="51" t="str">
        <x:v>AEO-006 / architecture docs</x:v>
      </x:c>
      <x:c r="F13" s="51" t="str">
        <x:v>Avoids rework later.</x:v>
      </x:c>
      <x:c r="G13" s="51" t="str">
        <x:v>Decision</x:v>
      </x:c>
    </x:row>
    <x:row r="14">
      <x:c r="A14" s="51" t="str">
        <x:v>Social distribution</x:v>
      </x:c>
      <x:c r="B14" s="51" t="str">
        <x:v>Seven platforms planned; no Threads.</x:v>
      </x:c>
      <x:c r="C14" s="51" t="str">
        <x:v>Generate only from approved story records.</x:v>
      </x:c>
      <x:c r="D14" s="51" t="str">
        <x:v>Keep existing social issues as downstream dependencies.</x:v>
      </x:c>
      <x:c r="E14" s="51" t="str">
        <x:v>SOCIAL-003..005; GROWTH-002</x:v>
      </x:c>
      <x:c r="F14" s="51" t="str">
        <x:v>No separate editorial pipeline.</x:v>
      </x:c>
      <x:c r="G14" s="51" t="str">
        <x:v>Decision</x:v>
      </x:c>
    </x:row>
    <x:row r="15">
      <x:c r="A15" t="str">
        <x:v>Ads</x:v>
      </x:c>
      <x:c r="B15" t="str">
        <x:v>Three dormant zones, activation gated by readership.</x:v>
      </x:c>
      <x:c r="C15" t="str">
        <x:v>No effect on AINWA sourcing except source/distribution analytics remain separate.</x:v>
      </x:c>
      <x:c r="D15" t="str">
        <x:v>Preserve existing ad architecture.</x:v>
      </x:c>
      <x:c r="E15" t="str">
        <x:v>ADS-001..005</x:v>
      </x:c>
      <x:c r="F15" t="str">
        <x:v>No ad activation in current AINWA work.</x:v>
      </x:c>
      <x:c r="G15" t="str">
        <x:v>Decision</x:v>
      </x:c>
    </x:row>
  </x:sheetData>
  <x:mergeCells>
    <x:mergeCell ref="A1:G1"/>
  </x:mergeCells>
  <x:conditionalFormatting sqref="G4:G14">
    <x:cfRule type="expression" dxfId="3" priority="1">
      <x:formula>G4="Decision"</x:formula>
    </x:cfRule>
    <x:cfRule type="expression" dxfId="4" priority="2">
      <x:formula>G4="Proposed"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5" t="str">
        <x:v>Roles</x:v>
      </x:c>
      <x:c r="B1" s="45" t="str">
        <x:v>Yes/No</x:v>
      </x:c>
      <x:c r="C1" s="45" t="str">
        <x:v>Citation</x:v>
      </x:c>
      <x:c r="D1" s="45" t="str">
        <x:v>Confidence</x:v>
      </x:c>
      <x:c r="E1" s="45" t="str">
        <x:v>Priority</x:v>
      </x:c>
      <x:c r="F1" s="45" t="str">
        <x:v>Human Review</x:v>
      </x:c>
    </x:row>
    <x:row r="2">
      <x:c r="A2" t="str">
        <x:v>Primary source</x:v>
      </x:c>
      <x:c r="B2" t="str">
        <x:v>Yes</x:v>
      </x:c>
      <x:c r="C2" t="str">
        <x:v>Yes</x:v>
      </x:c>
      <x:c r="D2" t="str">
        <x:v>High</x:v>
      </x:c>
      <x:c r="E2" t="str">
        <x:v>P0</x:v>
      </x:c>
      <x:c r="F2" t="str">
        <x:v>Pending</x:v>
      </x:c>
    </x:row>
    <x:row r="3">
      <x:c r="A3" t="str">
        <x:v>Original journalism</x:v>
      </x:c>
      <x:c r="B3" t="str">
        <x:v>No</x:v>
      </x:c>
      <x:c r="C3" t="str">
        <x:v>No</x:v>
      </x:c>
      <x:c r="D3" t="str">
        <x:v>Medium</x:v>
      </x:c>
      <x:c r="E3" t="str">
        <x:v>P1</x:v>
      </x:c>
      <x:c r="F3" t="str">
        <x:v>Approved</x:v>
      </x:c>
    </x:row>
    <x:row r="4">
      <x:c r="A4" t="str">
        <x:v>Specialist trade / regional</x:v>
      </x:c>
      <x:c r="C4" t="str">
        <x:v>Conditional</x:v>
      </x:c>
      <x:c r="D4" t="str">
        <x:v>Low</x:v>
      </x:c>
      <x:c r="E4" t="str">
        <x:v>P2</x:v>
      </x:c>
      <x:c r="F4" t="str">
        <x:v>Excluded</x:v>
      </x:c>
    </x:row>
    <x:row r="5">
      <x:c r="A5" t="str">
        <x:v>Discovery-only</x:v>
      </x:c>
      <x:c r="E5" t="str">
        <x:v>P3</x:v>
      </x:c>
      <x:c r="F5" t="str">
        <x:v>Watch</x:v>
      </x:c>
    </x:row>
    <x:row r="6">
      <x:c r="A6" t="str">
        <x:v>Research / analysis</x:v>
      </x:c>
      <x:c r="F6" t="str">
        <x:v>Needs URL verification</x:v>
      </x:c>
    </x:row>
    <x:row r="7">
      <x:c r="A7" t="str">
        <x:v>Vendor / self-report</x:v>
      </x:c>
    </x:row>
    <x:row r="8">
      <x:c r="A8" t="str">
        <x:v>Advocacy / institutional</x:v>
      </x:c>
    </x:row>
    <x:row r="9">
      <x:c r="A9" t="str">
        <x:v>Utility / tooling</x:v>
      </x:c>
    </x:row>
    <x:row r="10">
      <x:c r="A10" t="str">
        <x:v>Review / low-signal</x:v>
      </x:c>
    </x:row>
    <x:row r="11">
      <x:c r="A11" t="str">
        <x:v>Exclude / background</x:v>
      </x:c>
    </x:row>
    <x:row r="12">
      <x:c r="A12" t="str">
        <x:v>Review required</x:v>
      </x:c>
    </x:row>
  </x:sheetData>
  <x:pageMargins left="0.7" right="0.7" top="0.75" bottom="0.75" header="0.3" footer="0.3"/>
</x:worksheet>
</file>