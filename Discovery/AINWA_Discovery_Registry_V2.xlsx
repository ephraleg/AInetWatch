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781aec375d4a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NWA Discovery Registry V2" sheetId="1" r:id="R39ed51dd15084a5a"/>
    <x:sheet xmlns:r="http://schemas.openxmlformats.org/officeDocument/2006/relationships" name="Discovery Policy" sheetId="2" r:id="Rd43738ba42854dae"/>
    <x:sheet xmlns:r="http://schemas.openxmlformats.org/officeDocument/2006/relationships" name="Lists" sheetId="3" r:id="R59e7dc35bc7549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4CE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4CE"/>
        </x:patternFill>
      </x:fill>
    </x:dxf>
    <x:dxf>
      <x:fill>
        <x:patternFill patternType="solid">
          <x:bgColor rgb="FFE8F3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9aa168c93e46ff" /><Relationship Type="http://schemas.openxmlformats.org/officeDocument/2006/relationships/theme" Target="/xl/theme/theme1.xml" Id="R8952b38ceb1447aa" /><Relationship Type="http://schemas.openxmlformats.org/officeDocument/2006/relationships/sharedStrings" Target="/xl/sharedStrings.xml" Id="Rc82e973a12554ab0" /><Relationship Type="http://schemas.openxmlformats.org/officeDocument/2006/relationships/worksheet" Target="/xl/worksheets/sheet1.xml" Id="R39ed51dd15084a5a" /><Relationship Type="http://schemas.openxmlformats.org/officeDocument/2006/relationships/worksheet" Target="/xl/worksheets/sheet2.xml" Id="Rd43738ba42854dae" /><Relationship Type="http://schemas.openxmlformats.org/officeDocument/2006/relationships/worksheet" Target="/xl/worksheets/sheet3.xml" Id="R59e7dc35bc7549eb" /></Relationships>
</file>

<file path=xl/tables/table1.xml><?xml version="1.0" encoding="utf-8"?>
<x:table xmlns:x="http://schemas.openxmlformats.org/spreadsheetml/2006/main" id="1" name="AINWADiscoveryRegistryV2" displayName="AINWADiscoveryRegistryV2" ref="A1:J61" headerRowCount="1" totalsRowCount="0" totalsRowShown="0">
  <x:tableColumns count="10">
    <x:tableColumn id="1" name="Source ID"/>
    <x:tableColumn id="2" name="Source Name"/>
    <x:tableColumn id="3" name="Domain"/>
    <x:tableColumn id="4" name="Category"/>
    <x:tableColumn id="5" name="Role"/>
    <x:tableColumn id="6" name="Enabled"/>
    <x:tableColumn id="7" name="Priority"/>
    <x:tableColumn id="8" name="Citation Allowed"/>
    <x:tableColumn id="9" name="Reliability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53b836304d4923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26" hidden="0" customWidth="1"/>
    <x:col min="4" max="4" width="22" hidden="0" customWidth="1"/>
    <x:col min="5" max="5" width="18" hidden="0" customWidth="1"/>
    <x:col min="6" max="6" width="10" hidden="0" customWidth="1"/>
    <x:col min="7" max="7" width="11" hidden="0" customWidth="1"/>
    <x:col min="8" max="8" width="16" hidden="0" customWidth="1"/>
    <x:col min="9" max="9" width="12" hidden="0" customWidth="1"/>
    <x:col min="10" max="10" width="48" hidden="0" customWidth="1"/>
  </x:cols>
  <x:sheetData>
    <x:row r="1" ht="28" customHeight="1">
      <x:c r="A1" s="14" t="str">
        <x:v>Source ID</x:v>
      </x:c>
      <x:c r="B1" s="14" t="str">
        <x:v>Source Name</x:v>
      </x:c>
      <x:c r="C1" s="14" t="str">
        <x:v>Domain</x:v>
      </x:c>
      <x:c r="D1" s="14" t="str">
        <x:v>Category</x:v>
      </x:c>
      <x:c r="E1" s="14" t="str">
        <x:v>Role</x:v>
      </x:c>
      <x:c r="F1" s="14" t="str">
        <x:v>Enabled</x:v>
      </x:c>
      <x:c r="G1" s="14" t="str">
        <x:v>Priority</x:v>
      </x:c>
      <x:c r="H1" s="14" t="str">
        <x:v>Citation Allowed</x:v>
      </x:c>
      <x:c r="I1" s="14" t="str">
        <x:v>Reliability</x:v>
      </x:c>
      <x:c r="J1" s="14" t="str">
        <x:v>Notes</x:v>
      </x:c>
    </x:row>
    <x:row r="2">
      <x:c r="A2" s="15" t="str">
        <x:v>SRC-001</x:v>
      </x:c>
      <x:c r="B2" s="15" t="str">
        <x:v>The Rundown AI</x:v>
      </x:c>
      <x:c r="C2" s="15" t="str">
        <x:v>therundown.ai</x:v>
      </x:c>
      <x:c r="D2" s="15" t="str">
        <x:v>AI News / Discovery</x:v>
      </x:c>
      <x:c r="E2" s="15" t="str">
        <x:v>Discovery Only</x:v>
      </x:c>
      <x:c r="F2" s="15" t="str">
        <x:v>Yes</x:v>
      </x:c>
      <x:c r="G2" s="15" t="str">
        <x:v>High</x:v>
      </x:c>
      <x:c r="H2" s="15" t="str">
        <x:v>No</x:v>
      </x:c>
      <x:c r="I2" s="15" t="str">
        <x:v>Medium</x:v>
      </x:c>
      <x:c r="J2" s="15" t="str">
        <x:v>High-signal daily discovery; resolve every lead to the original source.</x:v>
      </x:c>
    </x:row>
    <x:row r="3">
      <x:c r="A3" s="15" t="str">
        <x:v>SRC-002</x:v>
      </x:c>
      <x:c r="B3" s="15" t="str">
        <x:v>Techmeme</x:v>
      </x:c>
      <x:c r="C3" s="15" t="str">
        <x:v>techmeme.com</x:v>
      </x:c>
      <x:c r="D3" s="15" t="str">
        <x:v>AI News / Discovery</x:v>
      </x:c>
      <x:c r="E3" s="15" t="str">
        <x:v>Discovery Only</x:v>
      </x:c>
      <x:c r="F3" s="15" t="str">
        <x:v>Yes</x:v>
      </x:c>
      <x:c r="G3" s="15" t="str">
        <x:v>High</x:v>
      </x:c>
      <x:c r="H3" s="15" t="str">
        <x:v>No</x:v>
      </x:c>
      <x:c r="I3" s="15" t="str">
        <x:v>High</x:v>
      </x:c>
      <x:c r="J3" s="15" t="str">
        <x:v>Fast curated technology discovery; never use as the final publication source.</x:v>
      </x:c>
    </x:row>
    <x:row r="4">
      <x:c r="A4" s="15" t="str">
        <x:v>SRC-003</x:v>
      </x:c>
      <x:c r="B4" s="15" t="str">
        <x:v>AI Weekly</x:v>
      </x:c>
      <x:c r="C4" s="15" t="str">
        <x:v>aiweekly.co</x:v>
      </x:c>
      <x:c r="D4" s="15" t="str">
        <x:v>AI News / Discovery</x:v>
      </x:c>
      <x:c r="E4" s="15" t="str">
        <x:v>Discovery Only</x:v>
      </x:c>
      <x:c r="F4" s="15" t="str">
        <x:v>Yes</x:v>
      </x:c>
      <x:c r="G4" s="15" t="str">
        <x:v>Medium</x:v>
      </x:c>
      <x:c r="H4" s="15" t="str">
        <x:v>No</x:v>
      </x:c>
      <x:c r="I4" s="15" t="str">
        <x:v>Medium</x:v>
      </x:c>
      <x:c r="J4" s="15" t="str">
        <x:v>Useful weekly AI aggregation; lower-frequency discovery input.</x:v>
      </x:c>
    </x:row>
    <x:row r="5">
      <x:c r="A5" s="15" t="str">
        <x:v>SRC-004</x:v>
      </x:c>
      <x:c r="B5" s="15" t="str">
        <x:v>AI Breakfast</x:v>
      </x:c>
      <x:c r="C5" s="15" t="str">
        <x:v>aibreakfast.com</x:v>
      </x:c>
      <x:c r="D5" s="15" t="str">
        <x:v>AI News / Discovery</x:v>
      </x:c>
      <x:c r="E5" s="15" t="str">
        <x:v>Discovery Only</x:v>
      </x:c>
      <x:c r="F5" s="15" t="str">
        <x:v>Yes</x:v>
      </x:c>
      <x:c r="G5" s="15" t="str">
        <x:v>Low</x:v>
      </x:c>
      <x:c r="H5" s="15" t="str">
        <x:v>No</x:v>
      </x:c>
      <x:c r="I5" s="15" t="str">
        <x:v>Medium</x:v>
      </x:c>
      <x:c r="J5" s="15" t="str">
        <x:v>Curated AI discovery with substantial overlap with higher-priority sources.</x:v>
      </x:c>
    </x:row>
    <x:row r="6">
      <x:c r="A6" s="15" t="str">
        <x:v>SRC-005</x:v>
      </x:c>
      <x:c r="B6" s="15" t="str">
        <x:v>Ben's Bites</x:v>
      </x:c>
      <x:c r="C6" s="15" t="str">
        <x:v>bensbites.co</x:v>
      </x:c>
      <x:c r="D6" s="15" t="str">
        <x:v>AI News / Discovery</x:v>
      </x:c>
      <x:c r="E6" s="15" t="str">
        <x:v>Discovery Only</x:v>
      </x:c>
      <x:c r="F6" s="15" t="str">
        <x:v>Yes</x:v>
      </x:c>
      <x:c r="G6" s="15" t="str">
        <x:v>Medium</x:v>
      </x:c>
      <x:c r="H6" s="15" t="str">
        <x:v>No</x:v>
      </x:c>
      <x:c r="I6" s="15" t="str">
        <x:v>Medium</x:v>
      </x:c>
      <x:c r="J6" s="15" t="str">
        <x:v>Useful for early AI product and builder signals; discovery only.</x:v>
      </x:c>
    </x:row>
    <x:row r="7">
      <x:c r="A7" s="15" t="str">
        <x:v>SRC-006</x:v>
      </x:c>
      <x:c r="B7" s="15" t="str">
        <x:v>TLDR AI</x:v>
      </x:c>
      <x:c r="C7" s="15" t="str">
        <x:v>tldr.tech</x:v>
      </x:c>
      <x:c r="D7" s="15" t="str">
        <x:v>AI News / Discovery</x:v>
      </x:c>
      <x:c r="E7" s="15" t="str">
        <x:v>Discovery Only</x:v>
      </x:c>
      <x:c r="F7" s="15" t="str">
        <x:v>Yes</x:v>
      </x:c>
      <x:c r="G7" s="15" t="str">
        <x:v>Low</x:v>
      </x:c>
      <x:c r="H7" s="15" t="str">
        <x:v>No</x:v>
      </x:c>
      <x:c r="I7" s="15" t="str">
        <x:v>Medium</x:v>
      </x:c>
      <x:c r="J7" s="15" t="str">
        <x:v>Dense AI roundup useful as a low-cost gap check.</x:v>
      </x:c>
    </x:row>
    <x:row r="8">
      <x:c r="A8" s="15" t="str">
        <x:v>SRC-007</x:v>
      </x:c>
      <x:c r="B8" s="15" t="str">
        <x:v>Hacker News</x:v>
      </x:c>
      <x:c r="C8" s="15" t="str">
        <x:v>news.ycombinator.com</x:v>
      </x:c>
      <x:c r="D8" s="15" t="str">
        <x:v>Technology News</x:v>
      </x:c>
      <x:c r="E8" s="15" t="str">
        <x:v>Discovery Only</x:v>
      </x:c>
      <x:c r="F8" s="15" t="str">
        <x:v>Yes</x:v>
      </x:c>
      <x:c r="G8" s="15" t="str">
        <x:v>Medium</x:v>
      </x:c>
      <x:c r="H8" s="15" t="str">
        <x:v>No</x:v>
      </x:c>
      <x:c r="I8" s="15" t="str">
        <x:v>Medium</x:v>
      </x:c>
      <x:c r="J8" s="15" t="str">
        <x:v>Good early signal for technical releases; high noise, so discovery only.</x:v>
      </x:c>
    </x:row>
    <x:row r="9">
      <x:c r="A9" s="15" t="str">
        <x:v>SRC-008</x:v>
      </x:c>
      <x:c r="B9" s="15" t="str">
        <x:v>Papers with Code</x:v>
      </x:c>
      <x:c r="C9" s="15" t="str">
        <x:v>paperswithcode.com</x:v>
      </x:c>
      <x:c r="D9" s="15" t="str">
        <x:v>Research / Academic</x:v>
      </x:c>
      <x:c r="E9" s="15" t="str">
        <x:v>Discovery Only</x:v>
      </x:c>
      <x:c r="F9" s="15" t="str">
        <x:v>Yes</x:v>
      </x:c>
      <x:c r="G9" s="15" t="str">
        <x:v>Medium</x:v>
      </x:c>
      <x:c r="H9" s="15" t="str">
        <x:v>No</x:v>
      </x:c>
      <x:c r="I9" s="15" t="str">
        <x:v>High</x:v>
      </x:c>
      <x:c r="J9" s="15" t="str">
        <x:v>Useful structured discovery for trending ML papers and implementations.</x:v>
      </x:c>
    </x:row>
    <x:row r="10">
      <x:c r="A10" s="15" t="str">
        <x:v>SRC-009</x:v>
      </x:c>
      <x:c r="B10" s="15" t="str">
        <x:v>Reuters</x:v>
      </x:c>
      <x:c r="C10" s="15" t="str">
        <x:v>reuters.com</x:v>
      </x:c>
      <x:c r="D10" s="15" t="str">
        <x:v>General News</x:v>
      </x:c>
      <x:c r="E10" s="15" t="str">
        <x:v>Original Reporting</x:v>
      </x:c>
      <x:c r="F10" s="15" t="str">
        <x:v>Yes</x:v>
      </x:c>
      <x:c r="G10" s="15" t="str">
        <x:v>High</x:v>
      </x:c>
      <x:c r="H10" s="15" t="str">
        <x:v>Yes</x:v>
      </x:c>
      <x:c r="I10" s="15" t="str">
        <x:v>High</x:v>
      </x:c>
      <x:c r="J10" s="15" t="str">
        <x:v>Top-tier breaking reporting on AI business, policy, regulation, and geopolitics.</x:v>
      </x:c>
    </x:row>
    <x:row r="11">
      <x:c r="A11" s="15" t="str">
        <x:v>SRC-010</x:v>
      </x:c>
      <x:c r="B11" s="15" t="str">
        <x:v>Associated Press</x:v>
      </x:c>
      <x:c r="C11" s="15" t="str">
        <x:v>apnews.com</x:v>
      </x:c>
      <x:c r="D11" s="15" t="str">
        <x:v>General News</x:v>
      </x:c>
      <x:c r="E11" s="15" t="str">
        <x:v>Original Reporting</x:v>
      </x:c>
      <x:c r="F11" s="15" t="str">
        <x:v>Yes</x:v>
      </x:c>
      <x:c r="G11" s="15" t="str">
        <x:v>Medium</x:v>
      </x:c>
      <x:c r="H11" s="15" t="str">
        <x:v>Yes</x:v>
      </x:c>
      <x:c r="I11" s="15" t="str">
        <x:v>High</x:v>
      </x:c>
      <x:c r="J11" s="15" t="str">
        <x:v>Reliable mainstream reporting; useful baseline for major AI developments.</x:v>
      </x:c>
    </x:row>
    <x:row r="12">
      <x:c r="A12" s="15" t="str">
        <x:v>SRC-011</x:v>
      </x:c>
      <x:c r="B12" s="15" t="str">
        <x:v>Bloomberg</x:v>
      </x:c>
      <x:c r="C12" s="15" t="str">
        <x:v>bloomberg.com</x:v>
      </x:c>
      <x:c r="D12" s="15" t="str">
        <x:v>Business / Finance</x:v>
      </x:c>
      <x:c r="E12" s="15" t="str">
        <x:v>Original Reporting</x:v>
      </x:c>
      <x:c r="F12" s="15" t="str">
        <x:v>Yes</x:v>
      </x:c>
      <x:c r="G12" s="15" t="str">
        <x:v>High</x:v>
      </x:c>
      <x:c r="H12" s="15" t="str">
        <x:v>Yes</x:v>
      </x:c>
      <x:c r="I12" s="15" t="str">
        <x:v>High</x:v>
      </x:c>
      <x:c r="J12" s="15" t="str">
        <x:v>High-signal original reporting on AI companies, markets, infrastructure, and policy; frequent paywall.</x:v>
      </x:c>
    </x:row>
    <x:row r="13">
      <x:c r="A13" s="15" t="str">
        <x:v>SRC-012</x:v>
      </x:c>
      <x:c r="B13" s="15" t="str">
        <x:v>Financial Times</x:v>
      </x:c>
      <x:c r="C13" s="15" t="str">
        <x:v>ft.com</x:v>
      </x:c>
      <x:c r="D13" s="15" t="str">
        <x:v>Business / Finance</x:v>
      </x:c>
      <x:c r="E13" s="15" t="str">
        <x:v>Original Reporting</x:v>
      </x:c>
      <x:c r="F13" s="15" t="str">
        <x:v>Yes</x:v>
      </x:c>
      <x:c r="G13" s="15" t="str">
        <x:v>High</x:v>
      </x:c>
      <x:c r="H13" s="15" t="str">
        <x:v>Yes</x:v>
      </x:c>
      <x:c r="I13" s="15" t="str">
        <x:v>High</x:v>
      </x:c>
      <x:c r="J13" s="15" t="str">
        <x:v>Strong global AI business and regulatory reporting; frequent paywall.</x:v>
      </x:c>
    </x:row>
    <x:row r="14">
      <x:c r="A14" s="15" t="str">
        <x:v>SRC-013</x:v>
      </x:c>
      <x:c r="B14" s="15" t="str">
        <x:v>Wall Street Journal</x:v>
      </x:c>
      <x:c r="C14" s="15" t="str">
        <x:v>wsj.com</x:v>
      </x:c>
      <x:c r="D14" s="15" t="str">
        <x:v>Business / Finance</x:v>
      </x:c>
      <x:c r="E14" s="15" t="str">
        <x:v>Original Reporting</x:v>
      </x:c>
      <x:c r="F14" s="15" t="str">
        <x:v>Yes</x:v>
      </x:c>
      <x:c r="G14" s="15" t="str">
        <x:v>High</x:v>
      </x:c>
      <x:c r="H14" s="15" t="str">
        <x:v>Yes</x:v>
      </x:c>
      <x:c r="I14" s="15" t="str">
        <x:v>High</x:v>
      </x:c>
      <x:c r="J14" s="15" t="str">
        <x:v>Strong original reporting on enterprise AI, investment, and major companies; frequent paywall.</x:v>
      </x:c>
    </x:row>
    <x:row r="15">
      <x:c r="A15" s="15" t="str">
        <x:v>SRC-014</x:v>
      </x:c>
      <x:c r="B15" s="15" t="str">
        <x:v>New York Times</x:v>
      </x:c>
      <x:c r="C15" s="15" t="str">
        <x:v>nytimes.com</x:v>
      </x:c>
      <x:c r="D15" s="15" t="str">
        <x:v>General News</x:v>
      </x:c>
      <x:c r="E15" s="15" t="str">
        <x:v>Original Reporting</x:v>
      </x:c>
      <x:c r="F15" s="15" t="str">
        <x:v>Yes</x:v>
      </x:c>
      <x:c r="G15" s="15" t="str">
        <x:v>Medium</x:v>
      </x:c>
      <x:c r="H15" s="15" t="str">
        <x:v>Yes</x:v>
      </x:c>
      <x:c r="I15" s="15" t="str">
        <x:v>High</x:v>
      </x:c>
      <x:c r="J15" s="15" t="str">
        <x:v>Major investigations and broad-impact AI reporting; frequent paywall.</x:v>
      </x:c>
    </x:row>
    <x:row r="16">
      <x:c r="A16" s="15" t="str">
        <x:v>SRC-015</x:v>
      </x:c>
      <x:c r="B16" s="15" t="str">
        <x:v>The Information</x:v>
      </x:c>
      <x:c r="C16" s="15" t="str">
        <x:v>theinformation.com</x:v>
      </x:c>
      <x:c r="D16" s="15" t="str">
        <x:v>Technology News</x:v>
      </x:c>
      <x:c r="E16" s="15" t="str">
        <x:v>Original Reporting</x:v>
      </x:c>
      <x:c r="F16" s="15" t="str">
        <x:v>Yes</x:v>
      </x:c>
      <x:c r="G16" s="15" t="str">
        <x:v>High</x:v>
      </x:c>
      <x:c r="H16" s="15" t="str">
        <x:v>Yes</x:v>
      </x:c>
      <x:c r="I16" s="15" t="str">
        <x:v>High</x:v>
      </x:c>
      <x:c r="J16" s="15" t="str">
        <x:v>High-signal AI lab and technology scoops; strict paywall.</x:v>
      </x:c>
    </x:row>
    <x:row r="17">
      <x:c r="A17" s="15" t="str">
        <x:v>SRC-016</x:v>
      </x:c>
      <x:c r="B17" s="15" t="str">
        <x:v>Axios</x:v>
      </x:c>
      <x:c r="C17" s="15" t="str">
        <x:v>axios.com</x:v>
      </x:c>
      <x:c r="D17" s="15" t="str">
        <x:v>General News</x:v>
      </x:c>
      <x:c r="E17" s="15" t="str">
        <x:v>Original Reporting</x:v>
      </x:c>
      <x:c r="F17" s="15" t="str">
        <x:v>Yes</x:v>
      </x:c>
      <x:c r="G17" s="15" t="str">
        <x:v>Medium</x:v>
      </x:c>
      <x:c r="H17" s="15" t="str">
        <x:v>Yes</x:v>
      </x:c>
      <x:c r="I17" s="15" t="str">
        <x:v>High</x:v>
      </x:c>
      <x:c r="J17" s="15" t="str">
        <x:v>Concise original reporting on AI policy, politics, and industry shifts.</x:v>
      </x:c>
    </x:row>
    <x:row r="18">
      <x:c r="A18" s="15" t="str">
        <x:v>SRC-017</x:v>
      </x:c>
      <x:c r="B18" s="15" t="str">
        <x:v>CNBC</x:v>
      </x:c>
      <x:c r="C18" s="15" t="str">
        <x:v>cnbc.com</x:v>
      </x:c>
      <x:c r="D18" s="15" t="str">
        <x:v>Business / Finance</x:v>
      </x:c>
      <x:c r="E18" s="15" t="str">
        <x:v>Original Reporting</x:v>
      </x:c>
      <x:c r="F18" s="15" t="str">
        <x:v>Yes</x:v>
      </x:c>
      <x:c r="G18" s="15" t="str">
        <x:v>Medium</x:v>
      </x:c>
      <x:c r="H18" s="15" t="str">
        <x:v>Yes</x:v>
      </x:c>
      <x:c r="I18" s="15" t="str">
        <x:v>High</x:v>
      </x:c>
      <x:c r="J18" s="15" t="str">
        <x:v>Useful for public companies, markets, funding, and executive AI news.</x:v>
      </x:c>
    </x:row>
    <x:row r="19">
      <x:c r="A19" s="15" t="str">
        <x:v>SRC-018</x:v>
      </x:c>
      <x:c r="B19" s="15" t="str">
        <x:v>TechCrunch</x:v>
      </x:c>
      <x:c r="C19" s="15" t="str">
        <x:v>techcrunch.com</x:v>
      </x:c>
      <x:c r="D19" s="15" t="str">
        <x:v>Technology News</x:v>
      </x:c>
      <x:c r="E19" s="15" t="str">
        <x:v>Original Reporting</x:v>
      </x:c>
      <x:c r="F19" s="15" t="str">
        <x:v>Yes</x:v>
      </x:c>
      <x:c r="G19" s="15" t="str">
        <x:v>High</x:v>
      </x:c>
      <x:c r="H19" s="15" t="str">
        <x:v>Yes</x:v>
      </x:c>
      <x:c r="I19" s="15" t="str">
        <x:v>High</x:v>
      </x:c>
      <x:c r="J19" s="15" t="str">
        <x:v>High-signal AI startup, funding, product, and company reporting.</x:v>
      </x:c>
    </x:row>
    <x:row r="20">
      <x:c r="A20" s="15" t="str">
        <x:v>SRC-019</x:v>
      </x:c>
      <x:c r="B20" s="15" t="str">
        <x:v>The Verge</x:v>
      </x:c>
      <x:c r="C20" s="15" t="str">
        <x:v>theverge.com</x:v>
      </x:c>
      <x:c r="D20" s="15" t="str">
        <x:v>Technology News</x:v>
      </x:c>
      <x:c r="E20" s="15" t="str">
        <x:v>Original Reporting</x:v>
      </x:c>
      <x:c r="F20" s="15" t="str">
        <x:v>Yes</x:v>
      </x:c>
      <x:c r="G20" s="15" t="str">
        <x:v>Medium</x:v>
      </x:c>
      <x:c r="H20" s="15" t="str">
        <x:v>Yes</x:v>
      </x:c>
      <x:c r="I20" s="15" t="str">
        <x:v>High</x:v>
      </x:c>
      <x:c r="J20" s="15" t="str">
        <x:v>Strong consumer AI, product, platform, and policy reporting.</x:v>
      </x:c>
    </x:row>
    <x:row r="21">
      <x:c r="A21" s="15" t="str">
        <x:v>SRC-020</x:v>
      </x:c>
      <x:c r="B21" s="15" t="str">
        <x:v>Ars Technica</x:v>
      </x:c>
      <x:c r="C21" s="15" t="str">
        <x:v>arstechnica.com</x:v>
      </x:c>
      <x:c r="D21" s="15" t="str">
        <x:v>Technology News</x:v>
      </x:c>
      <x:c r="E21" s="15" t="str">
        <x:v>Original Reporting</x:v>
      </x:c>
      <x:c r="F21" s="15" t="str">
        <x:v>Yes</x:v>
      </x:c>
      <x:c r="G21" s="15" t="str">
        <x:v>Medium</x:v>
      </x:c>
      <x:c r="H21" s="15" t="str">
        <x:v>Yes</x:v>
      </x:c>
      <x:c r="I21" s="15" t="str">
        <x:v>High</x:v>
      </x:c>
      <x:c r="J21" s="15" t="str">
        <x:v>Strong technical depth on AI systems, science, security, and legal issues.</x:v>
      </x:c>
    </x:row>
    <x:row r="22">
      <x:c r="A22" s="15" t="str">
        <x:v>SRC-021</x:v>
      </x:c>
      <x:c r="B22" s="15" t="str">
        <x:v>WIRED</x:v>
      </x:c>
      <x:c r="C22" s="15" t="str">
        <x:v>wired.com</x:v>
      </x:c>
      <x:c r="D22" s="15" t="str">
        <x:v>Technology News</x:v>
      </x:c>
      <x:c r="E22" s="15" t="str">
        <x:v>Original Reporting</x:v>
      </x:c>
      <x:c r="F22" s="15" t="str">
        <x:v>Yes</x:v>
      </x:c>
      <x:c r="G22" s="15" t="str">
        <x:v>Medium</x:v>
      </x:c>
      <x:c r="H22" s="15" t="str">
        <x:v>Yes</x:v>
      </x:c>
      <x:c r="I22" s="15" t="str">
        <x:v>High</x:v>
      </x:c>
      <x:c r="J22" s="15" t="str">
        <x:v>Strong original reporting on AI security, policy, culture, and products.</x:v>
      </x:c>
    </x:row>
    <x:row r="23">
      <x:c r="A23" s="15" t="str">
        <x:v>SRC-022</x:v>
      </x:c>
      <x:c r="B23" s="15" t="str">
        <x:v>MIT Technology Review</x:v>
      </x:c>
      <x:c r="C23" s="15" t="str">
        <x:v>technologyreview.com</x:v>
      </x:c>
      <x:c r="D23" s="15" t="str">
        <x:v>Technology News</x:v>
      </x:c>
      <x:c r="E23" s="15" t="str">
        <x:v>Original Reporting</x:v>
      </x:c>
      <x:c r="F23" s="15" t="str">
        <x:v>Yes</x:v>
      </x:c>
      <x:c r="G23" s="15" t="str">
        <x:v>Medium</x:v>
      </x:c>
      <x:c r="H23" s="15" t="str">
        <x:v>Yes</x:v>
      </x:c>
      <x:c r="I23" s="15" t="str">
        <x:v>High</x:v>
      </x:c>
      <x:c r="J23" s="15" t="str">
        <x:v>High-quality AI research, policy, and impact reporting.</x:v>
      </x:c>
    </x:row>
    <x:row r="24">
      <x:c r="A24" s="15" t="str">
        <x:v>SRC-023</x:v>
      </x:c>
      <x:c r="B24" s="15" t="str">
        <x:v>VentureBeat</x:v>
      </x:c>
      <x:c r="C24" s="15" t="str">
        <x:v>venturebeat.com</x:v>
      </x:c>
      <x:c r="D24" s="15" t="str">
        <x:v>Technology News</x:v>
      </x:c>
      <x:c r="E24" s="15" t="str">
        <x:v>Mixed</x:v>
      </x:c>
      <x:c r="F24" s="15" t="str">
        <x:v>Yes</x:v>
      </x:c>
      <x:c r="G24" s="15" t="str">
        <x:v>Medium</x:v>
      </x:c>
      <x:c r="H24" s="15" t="str">
        <x:v>Conditional</x:v>
      </x:c>
      <x:c r="I24" s="15" t="str">
        <x:v>Medium</x:v>
      </x:c>
      <x:c r="J24" s="15" t="str">
        <x:v>AI-focused enterprise coverage with mixed original and aggregated material.</x:v>
      </x:c>
    </x:row>
    <x:row r="25">
      <x:c r="A25" s="15" t="str">
        <x:v>SRC-024</x:v>
      </x:c>
      <x:c r="B25" s="15" t="str">
        <x:v>BleepingComputer</x:v>
      </x:c>
      <x:c r="C25" s="15" t="str">
        <x:v>bleepingcomputer.com</x:v>
      </x:c>
      <x:c r="D25" s="15" t="str">
        <x:v>Cybersecurity</x:v>
      </x:c>
      <x:c r="E25" s="15" t="str">
        <x:v>Original Reporting</x:v>
      </x:c>
      <x:c r="F25" s="15" t="str">
        <x:v>Yes</x:v>
      </x:c>
      <x:c r="G25" s="15" t="str">
        <x:v>High</x:v>
      </x:c>
      <x:c r="H25" s="15" t="str">
        <x:v>Yes</x:v>
      </x:c>
      <x:c r="I25" s="15" t="str">
        <x:v>High</x:v>
      </x:c>
      <x:c r="J25" s="15" t="str">
        <x:v>High-signal original cybersecurity reporting, including AI-enabled threats.</x:v>
      </x:c>
    </x:row>
    <x:row r="26">
      <x:c r="A26" s="15" t="str">
        <x:v>SRC-025</x:v>
      </x:c>
      <x:c r="B26" s="15" t="str">
        <x:v>Dark Reading</x:v>
      </x:c>
      <x:c r="C26" s="15" t="str">
        <x:v>darkreading.com</x:v>
      </x:c>
      <x:c r="D26" s="15" t="str">
        <x:v>Cybersecurity</x:v>
      </x:c>
      <x:c r="E26" s="15" t="str">
        <x:v>Mixed</x:v>
      </x:c>
      <x:c r="F26" s="15" t="str">
        <x:v>Yes</x:v>
      </x:c>
      <x:c r="G26" s="15" t="str">
        <x:v>Medium</x:v>
      </x:c>
      <x:c r="H26" s="15" t="str">
        <x:v>Conditional</x:v>
      </x:c>
      <x:c r="I26" s="15" t="str">
        <x:v>High</x:v>
      </x:c>
      <x:c r="J26" s="15" t="str">
        <x:v>Useful enterprise security reporting and analysis; verify original-source status per story.</x:v>
      </x:c>
    </x:row>
    <x:row r="27">
      <x:c r="A27" s="15" t="str">
        <x:v>SRC-026</x:v>
      </x:c>
      <x:c r="B27" s="15" t="str">
        <x:v>IEEE Spectrum</x:v>
      </x:c>
      <x:c r="C27" s="15" t="str">
        <x:v>spectrum.ieee.org</x:v>
      </x:c>
      <x:c r="D27" s="15" t="str">
        <x:v>Research / Academic</x:v>
      </x:c>
      <x:c r="E27" s="15" t="str">
        <x:v>Original Reporting</x:v>
      </x:c>
      <x:c r="F27" s="15" t="str">
        <x:v>Yes</x:v>
      </x:c>
      <x:c r="G27" s="15" t="str">
        <x:v>Low</x:v>
      </x:c>
      <x:c r="H27" s="15" t="str">
        <x:v>Yes</x:v>
      </x:c>
      <x:c r="I27" s="15" t="str">
        <x:v>High</x:v>
      </x:c>
      <x:c r="J27" s="15" t="str">
        <x:v>Deep engineering reporting; valuable but lower-frequency for the daily AI wire.</x:v>
      </x:c>
    </x:row>
    <x:row r="28">
      <x:c r="A28" s="15" t="str">
        <x:v>SRC-027</x:v>
      </x:c>
      <x:c r="B28" s="15" t="str">
        <x:v>Tech Policy Press</x:v>
      </x:c>
      <x:c r="C28" s="15" t="str">
        <x:v>techpolicy.press</x:v>
      </x:c>
      <x:c r="D28" s="15" t="str">
        <x:v>Policy / Governance</x:v>
      </x:c>
      <x:c r="E28" s="15" t="str">
        <x:v>Original Reporting</x:v>
      </x:c>
      <x:c r="F28" s="15" t="str">
        <x:v>Yes</x:v>
      </x:c>
      <x:c r="G28" s="15" t="str">
        <x:v>Medium</x:v>
      </x:c>
      <x:c r="H28" s="15" t="str">
        <x:v>Yes</x:v>
      </x:c>
      <x:c r="I28" s="15" t="str">
        <x:v>High</x:v>
      </x:c>
      <x:c r="J28" s="15" t="str">
        <x:v>Original reporting and analysis focused on technology policy and AI governance.</x:v>
      </x:c>
    </x:row>
    <x:row r="29">
      <x:c r="A29" s="15" t="str">
        <x:v>SRC-028</x:v>
      </x:c>
      <x:c r="B29" s="15" t="str">
        <x:v>The Record</x:v>
      </x:c>
      <x:c r="C29" s="15" t="str">
        <x:v>therecord.media</x:v>
      </x:c>
      <x:c r="D29" s="15" t="str">
        <x:v>Cybersecurity</x:v>
      </x:c>
      <x:c r="E29" s="15" t="str">
        <x:v>Original Reporting</x:v>
      </x:c>
      <x:c r="F29" s="15" t="str">
        <x:v>Yes</x:v>
      </x:c>
      <x:c r="G29" s="15" t="str">
        <x:v>High</x:v>
      </x:c>
      <x:c r="H29" s="15" t="str">
        <x:v>Yes</x:v>
      </x:c>
      <x:c r="I29" s="15" t="str">
        <x:v>High</x:v>
      </x:c>
      <x:c r="J29" s="15" t="str">
        <x:v>High-signal cybersecurity reporting and investigations with policy relevance.</x:v>
      </x:c>
    </x:row>
    <x:row r="30">
      <x:c r="A30" s="15" t="str">
        <x:v>SRC-029</x:v>
      </x:c>
      <x:c r="B30" s="15" t="str">
        <x:v>Politico</x:v>
      </x:c>
      <x:c r="C30" s="15" t="str">
        <x:v>politico.com</x:v>
      </x:c>
      <x:c r="D30" s="15" t="str">
        <x:v>Policy / Governance</x:v>
      </x:c>
      <x:c r="E30" s="15" t="str">
        <x:v>Original Reporting</x:v>
      </x:c>
      <x:c r="F30" s="15" t="str">
        <x:v>Yes</x:v>
      </x:c>
      <x:c r="G30" s="15" t="str">
        <x:v>Medium</x:v>
      </x:c>
      <x:c r="H30" s="15" t="str">
        <x:v>Yes</x:v>
      </x:c>
      <x:c r="I30" s="15" t="str">
        <x:v>High</x:v>
      </x:c>
      <x:c r="J30" s="15" t="str">
        <x:v>Strong U.S. and EU policy reporting; some content may be paywalled.</x:v>
      </x:c>
    </x:row>
    <x:row r="31">
      <x:c r="A31" s="15" t="str">
        <x:v>SRC-030</x:v>
      </x:c>
      <x:c r="B31" s="15" t="str">
        <x:v>404 Media</x:v>
      </x:c>
      <x:c r="C31" s="15" t="str">
        <x:v>404media.co</x:v>
      </x:c>
      <x:c r="D31" s="15" t="str">
        <x:v>Technology News</x:v>
      </x:c>
      <x:c r="E31" s="15" t="str">
        <x:v>Original Reporting</x:v>
      </x:c>
      <x:c r="F31" s="15" t="str">
        <x:v>Yes</x:v>
      </x:c>
      <x:c r="G31" s="15" t="str">
        <x:v>Low</x:v>
      </x:c>
      <x:c r="H31" s="15" t="str">
        <x:v>Yes</x:v>
      </x:c>
      <x:c r="I31" s="15" t="str">
        <x:v>High</x:v>
      </x:c>
      <x:c r="J31" s="15" t="str">
        <x:v>Investigative technology reporting; useful for unusual AI/platform stories.</x:v>
      </x:c>
    </x:row>
    <x:row r="32">
      <x:c r="A32" s="15" t="str">
        <x:v>SRC-031</x:v>
      </x:c>
      <x:c r="B32" s="15" t="str">
        <x:v>Fortune</x:v>
      </x:c>
      <x:c r="C32" s="15" t="str">
        <x:v>fortune.com</x:v>
      </x:c>
      <x:c r="D32" s="15" t="str">
        <x:v>Business / Finance</x:v>
      </x:c>
      <x:c r="E32" s="15" t="str">
        <x:v>Original Reporting</x:v>
      </x:c>
      <x:c r="F32" s="15" t="str">
        <x:v>Yes</x:v>
      </x:c>
      <x:c r="G32" s="15" t="str">
        <x:v>Low</x:v>
      </x:c>
      <x:c r="H32" s="15" t="str">
        <x:v>Yes</x:v>
      </x:c>
      <x:c r="I32" s="15" t="str">
        <x:v>High</x:v>
      </x:c>
      <x:c r="J32" s="15" t="str">
        <x:v>Useful enterprise and executive AI reporting; some content is metered or paywalled.</x:v>
      </x:c>
    </x:row>
    <x:row r="33">
      <x:c r="A33" s="15" t="str">
        <x:v>SRC-032</x:v>
      </x:c>
      <x:c r="B33" s="15" t="str">
        <x:v>Krebs on Security</x:v>
      </x:c>
      <x:c r="C33" s="15" t="str">
        <x:v>krebsonsecurity.com</x:v>
      </x:c>
      <x:c r="D33" s="15" t="str">
        <x:v>Cybersecurity</x:v>
      </x:c>
      <x:c r="E33" s="15" t="str">
        <x:v>Original Reporting</x:v>
      </x:c>
      <x:c r="F33" s="15" t="str">
        <x:v>Yes</x:v>
      </x:c>
      <x:c r="G33" s="15" t="str">
        <x:v>Low</x:v>
      </x:c>
      <x:c r="H33" s="15" t="str">
        <x:v>Yes</x:v>
      </x:c>
      <x:c r="I33" s="15" t="str">
        <x:v>High</x:v>
      </x:c>
      <x:c r="J33" s="15" t="str">
        <x:v>Top-tier cybercrime investigations; AI-specific stories are lower frequency.</x:v>
      </x:c>
    </x:row>
    <x:row r="34">
      <x:c r="A34" s="15" t="str">
        <x:v>SRC-033</x:v>
      </x:c>
      <x:c r="B34" s="15" t="str">
        <x:v>CyberScoop</x:v>
      </x:c>
      <x:c r="C34" s="15" t="str">
        <x:v>cyberscoop.com</x:v>
      </x:c>
      <x:c r="D34" s="15" t="str">
        <x:v>Cybersecurity</x:v>
      </x:c>
      <x:c r="E34" s="15" t="str">
        <x:v>Original Reporting</x:v>
      </x:c>
      <x:c r="F34" s="15" t="str">
        <x:v>Yes</x:v>
      </x:c>
      <x:c r="G34" s="15" t="str">
        <x:v>Low</x:v>
      </x:c>
      <x:c r="H34" s="15" t="str">
        <x:v>Yes</x:v>
      </x:c>
      <x:c r="I34" s="15" t="str">
        <x:v>High</x:v>
      </x:c>
      <x:c r="J34" s="15" t="str">
        <x:v>Useful government-security reporting when AI intersects with cybersecurity policy.</x:v>
      </x:c>
    </x:row>
    <x:row r="35">
      <x:c r="A35" s="15" t="str">
        <x:v>SRC-034</x:v>
      </x:c>
      <x:c r="B35" s="15" t="str">
        <x:v>OpenAI</x:v>
      </x:c>
      <x:c r="C35" s="15" t="str">
        <x:v>openai.com</x:v>
      </x:c>
      <x:c r="D35" s="15" t="str">
        <x:v>Primary AI Lab / Company</x:v>
      </x:c>
      <x:c r="E35" s="15" t="str">
        <x:v>Primary Source</x:v>
      </x:c>
      <x:c r="F35" s="15" t="str">
        <x:v>Yes</x:v>
      </x:c>
      <x:c r="G35" s="15" t="str">
        <x:v>High</x:v>
      </x:c>
      <x:c r="H35" s="15" t="str">
        <x:v>Yes</x:v>
      </x:c>
      <x:c r="I35" s="15" t="str">
        <x:v>High</x:v>
      </x:c>
      <x:c r="J35" s="15" t="str">
        <x:v>Primary source for OpenAI model, product, research, safety, and policy announcements.</x:v>
      </x:c>
    </x:row>
    <x:row r="36">
      <x:c r="A36" s="15" t="str">
        <x:v>SRC-035</x:v>
      </x:c>
      <x:c r="B36" s="15" t="str">
        <x:v>Anthropic</x:v>
      </x:c>
      <x:c r="C36" s="15" t="str">
        <x:v>anthropic.com</x:v>
      </x:c>
      <x:c r="D36" s="15" t="str">
        <x:v>Primary AI Lab / Company</x:v>
      </x:c>
      <x:c r="E36" s="15" t="str">
        <x:v>Primary Source</x:v>
      </x:c>
      <x:c r="F36" s="15" t="str">
        <x:v>Yes</x:v>
      </x:c>
      <x:c r="G36" s="15" t="str">
        <x:v>High</x:v>
      </x:c>
      <x:c r="H36" s="15" t="str">
        <x:v>Yes</x:v>
      </x:c>
      <x:c r="I36" s="15" t="str">
        <x:v>High</x:v>
      </x:c>
      <x:c r="J36" s="15" t="str">
        <x:v>Primary source for Claude releases, research, safety, and policy announcements.</x:v>
      </x:c>
    </x:row>
    <x:row r="37">
      <x:c r="A37" s="15" t="str">
        <x:v>SRC-036</x:v>
      </x:c>
      <x:c r="B37" s="15" t="str">
        <x:v>Google DeepMind</x:v>
      </x:c>
      <x:c r="C37" s="15" t="str">
        <x:v>deepmind.google</x:v>
      </x:c>
      <x:c r="D37" s="15" t="str">
        <x:v>Primary AI Lab / Company</x:v>
      </x:c>
      <x:c r="E37" s="15" t="str">
        <x:v>Primary Source</x:v>
      </x:c>
      <x:c r="F37" s="15" t="str">
        <x:v>Yes</x:v>
      </x:c>
      <x:c r="G37" s="15" t="str">
        <x:v>High</x:v>
      </x:c>
      <x:c r="H37" s="15" t="str">
        <x:v>Yes</x:v>
      </x:c>
      <x:c r="I37" s="15" t="str">
        <x:v>High</x:v>
      </x:c>
      <x:c r="J37" s="15" t="str">
        <x:v>Primary source for DeepMind model and research announcements.</x:v>
      </x:c>
    </x:row>
    <x:row r="38">
      <x:c r="A38" s="15" t="str">
        <x:v>SRC-037</x:v>
      </x:c>
      <x:c r="B38" s="15" t="str">
        <x:v>xAI</x:v>
      </x:c>
      <x:c r="C38" s="15" t="str">
        <x:v>x.ai</x:v>
      </x:c>
      <x:c r="D38" s="15" t="str">
        <x:v>Primary AI Lab / Company</x:v>
      </x:c>
      <x:c r="E38" s="15" t="str">
        <x:v>Primary Source</x:v>
      </x:c>
      <x:c r="F38" s="15" t="str">
        <x:v>Yes</x:v>
      </x:c>
      <x:c r="G38" s="15" t="str">
        <x:v>Medium</x:v>
      </x:c>
      <x:c r="H38" s="15" t="str">
        <x:v>Yes</x:v>
      </x:c>
      <x:c r="I38" s="15" t="str">
        <x:v>Medium</x:v>
      </x:c>
      <x:c r="J38" s="15" t="str">
        <x:v>Primary source for Grok and xAI announcements; verify broader claims independently when appropriate.</x:v>
      </x:c>
    </x:row>
    <x:row r="39">
      <x:c r="A39" s="15" t="str">
        <x:v>SRC-038</x:v>
      </x:c>
      <x:c r="B39" s="15" t="str">
        <x:v>Meta AI / FAIR</x:v>
      </x:c>
      <x:c r="C39" s="15" t="str">
        <x:v>ai.meta.com</x:v>
      </x:c>
      <x:c r="D39" s="15" t="str">
        <x:v>Primary AI Lab / Company</x:v>
      </x:c>
      <x:c r="E39" s="15" t="str">
        <x:v>Primary Source</x:v>
      </x:c>
      <x:c r="F39" s="15" t="str">
        <x:v>Yes</x:v>
      </x:c>
      <x:c r="G39" s="15" t="str">
        <x:v>Medium</x:v>
      </x:c>
      <x:c r="H39" s="15" t="str">
        <x:v>Yes</x:v>
      </x:c>
      <x:c r="I39" s="15" t="str">
        <x:v>High</x:v>
      </x:c>
      <x:c r="J39" s="15" t="str">
        <x:v>Primary source for Meta AI models, research, and open-weight releases.</x:v>
      </x:c>
    </x:row>
    <x:row r="40">
      <x:c r="A40" s="15" t="str">
        <x:v>SRC-039</x:v>
      </x:c>
      <x:c r="B40" s="15" t="str">
        <x:v>NVIDIA</x:v>
      </x:c>
      <x:c r="C40" s="15" t="str">
        <x:v>nvidia.com</x:v>
      </x:c>
      <x:c r="D40" s="15" t="str">
        <x:v>Primary AI Lab / Company</x:v>
      </x:c>
      <x:c r="E40" s="15" t="str">
        <x:v>Primary Source</x:v>
      </x:c>
      <x:c r="F40" s="15" t="str">
        <x:v>Yes</x:v>
      </x:c>
      <x:c r="G40" s="15" t="str">
        <x:v>High</x:v>
      </x:c>
      <x:c r="H40" s="15" t="str">
        <x:v>Yes</x:v>
      </x:c>
      <x:c r="I40" s="15" t="str">
        <x:v>High</x:v>
      </x:c>
      <x:c r="J40" s="15" t="str">
        <x:v>Primary source for major AI hardware, software, platform, and research announcements.</x:v>
      </x:c>
    </x:row>
    <x:row r="41">
      <x:c r="A41" s="15" t="str">
        <x:v>SRC-040</x:v>
      </x:c>
      <x:c r="B41" s="15" t="str">
        <x:v>Microsoft Research</x:v>
      </x:c>
      <x:c r="C41" s="15" t="str">
        <x:v>microsoft.com/en-us/research</x:v>
      </x:c>
      <x:c r="D41" s="15" t="str">
        <x:v>Primary AI Lab / Company</x:v>
      </x:c>
      <x:c r="E41" s="15" t="str">
        <x:v>Primary Source</x:v>
      </x:c>
      <x:c r="F41" s="15" t="str">
        <x:v>Yes</x:v>
      </x:c>
      <x:c r="G41" s="15" t="str">
        <x:v>Medium</x:v>
      </x:c>
      <x:c r="H41" s="15" t="str">
        <x:v>Yes</x:v>
      </x:c>
      <x:c r="I41" s="15" t="str">
        <x:v>High</x:v>
      </x:c>
      <x:c r="J41" s="15" t="str">
        <x:v>Primary source for Microsoft AI research; product news may appear elsewhere on Microsoft domains.</x:v>
      </x:c>
    </x:row>
    <x:row r="42">
      <x:c r="A42" s="15" t="str">
        <x:v>SRC-041</x:v>
      </x:c>
      <x:c r="B42" s="15" t="str">
        <x:v>Google AI</x:v>
      </x:c>
      <x:c r="C42" s="15" t="str">
        <x:v>ai.google</x:v>
      </x:c>
      <x:c r="D42" s="15" t="str">
        <x:v>Primary AI Lab / Company</x:v>
      </x:c>
      <x:c r="E42" s="15" t="str">
        <x:v>Primary Source</x:v>
      </x:c>
      <x:c r="F42" s="15" t="str">
        <x:v>Yes</x:v>
      </x:c>
      <x:c r="G42" s="15" t="str">
        <x:v>High</x:v>
      </x:c>
      <x:c r="H42" s="15" t="str">
        <x:v>Yes</x:v>
      </x:c>
      <x:c r="I42" s="15" t="str">
        <x:v>High</x:v>
      </x:c>
      <x:c r="J42" s="15" t="str">
        <x:v>Primary source for Google AI product and model announcements outside DeepMind.</x:v>
      </x:c>
    </x:row>
    <x:row r="43">
      <x:c r="A43" s="15" t="str">
        <x:v>SRC-042</x:v>
      </x:c>
      <x:c r="B43" s="15" t="str">
        <x:v>Hugging Face</x:v>
      </x:c>
      <x:c r="C43" s="15" t="str">
        <x:v>huggingface.co</x:v>
      </x:c>
      <x:c r="D43" s="15" t="str">
        <x:v>Primary AI Lab / Company</x:v>
      </x:c>
      <x:c r="E43" s="15" t="str">
        <x:v>Mixed</x:v>
      </x:c>
      <x:c r="F43" s="15" t="str">
        <x:v>Yes</x:v>
      </x:c>
      <x:c r="G43" s="15" t="str">
        <x:v>Medium</x:v>
      </x:c>
      <x:c r="H43" s="15" t="str">
        <x:v>Conditional</x:v>
      </x:c>
      <x:c r="I43" s="15" t="str">
        <x:v>High</x:v>
      </x:c>
      <x:c r="J43" s="15" t="str">
        <x:v>Mixed first-party and third-party ecosystem content; cite conditionally based on the specific page.</x:v>
      </x:c>
    </x:row>
    <x:row r="44">
      <x:c r="A44" s="15" t="str">
        <x:v>SRC-043</x:v>
      </x:c>
      <x:c r="B44" s="15" t="str">
        <x:v>Amazon AWS / AI</x:v>
      </x:c>
      <x:c r="C44" s="15" t="str">
        <x:v>aws.amazon.com</x:v>
      </x:c>
      <x:c r="D44" s="15" t="str">
        <x:v>Primary AI Lab / Company</x:v>
      </x:c>
      <x:c r="E44" s="15" t="str">
        <x:v>Primary Source</x:v>
      </x:c>
      <x:c r="F44" s="15" t="str">
        <x:v>Yes</x:v>
      </x:c>
      <x:c r="G44" s="15" t="str">
        <x:v>Medium</x:v>
      </x:c>
      <x:c r="H44" s="15" t="str">
        <x:v>Yes</x:v>
      </x:c>
      <x:c r="I44" s="15" t="str">
        <x:v>High</x:v>
      </x:c>
      <x:c r="J44" s="15" t="str">
        <x:v>Primary source for AWS AI service and infrastructure announcements.</x:v>
      </x:c>
    </x:row>
    <x:row r="45">
      <x:c r="A45" s="15" t="str">
        <x:v>SRC-044</x:v>
      </x:c>
      <x:c r="B45" s="15" t="str">
        <x:v>Cohere</x:v>
      </x:c>
      <x:c r="C45" s="15" t="str">
        <x:v>cohere.com</x:v>
      </x:c>
      <x:c r="D45" s="15" t="str">
        <x:v>Primary AI Lab / Company</x:v>
      </x:c>
      <x:c r="E45" s="15" t="str">
        <x:v>Primary Source</x:v>
      </x:c>
      <x:c r="F45" s="15" t="str">
        <x:v>Yes</x:v>
      </x:c>
      <x:c r="G45" s="15" t="str">
        <x:v>Low</x:v>
      </x:c>
      <x:c r="H45" s="15" t="str">
        <x:v>Yes</x:v>
      </x:c>
      <x:c r="I45" s="15" t="str">
        <x:v>High</x:v>
      </x:c>
      <x:c r="J45" s="15" t="str">
        <x:v>Primary source for Cohere enterprise model and product announcements.</x:v>
      </x:c>
    </x:row>
    <x:row r="46">
      <x:c r="A46" s="15" t="str">
        <x:v>SRC-045</x:v>
      </x:c>
      <x:c r="B46" s="15" t="str">
        <x:v>Mistral AI</x:v>
      </x:c>
      <x:c r="C46" s="15" t="str">
        <x:v>mistral.ai</x:v>
      </x:c>
      <x:c r="D46" s="15" t="str">
        <x:v>Primary AI Lab / Company</x:v>
      </x:c>
      <x:c r="E46" s="15" t="str">
        <x:v>Primary Source</x:v>
      </x:c>
      <x:c r="F46" s="15" t="str">
        <x:v>Yes</x:v>
      </x:c>
      <x:c r="G46" s="15" t="str">
        <x:v>Medium</x:v>
      </x:c>
      <x:c r="H46" s="15" t="str">
        <x:v>Yes</x:v>
      </x:c>
      <x:c r="I46" s="15" t="str">
        <x:v>High</x:v>
      </x:c>
      <x:c r="J46" s="15" t="str">
        <x:v>Primary source for Mistral model, product, and company announcements.</x:v>
      </x:c>
    </x:row>
    <x:row r="47">
      <x:c r="A47" s="15" t="str">
        <x:v>SRC-046</x:v>
      </x:c>
      <x:c r="B47" s="15" t="str">
        <x:v>arXiv</x:v>
      </x:c>
      <x:c r="C47" s="15" t="str">
        <x:v>arxiv.org</x:v>
      </x:c>
      <x:c r="D47" s="15" t="str">
        <x:v>Research / Academic</x:v>
      </x:c>
      <x:c r="E47" s="15" t="str">
        <x:v>Primary Source</x:v>
      </x:c>
      <x:c r="F47" s="15" t="str">
        <x:v>Yes</x:v>
      </x:c>
      <x:c r="G47" s="15" t="str">
        <x:v>High</x:v>
      </x:c>
      <x:c r="H47" s="15" t="str">
        <x:v>Conditional</x:v>
      </x:c>
      <x:c r="I47" s="15" t="str">
        <x:v>Medium</x:v>
      </x:c>
      <x:c r="J47" s="15" t="str">
        <x:v>Fast research discovery; papers are primary research but may be unreviewed preprints.</x:v>
      </x:c>
    </x:row>
    <x:row r="48">
      <x:c r="A48" s="15" t="str">
        <x:v>SRC-047</x:v>
      </x:c>
      <x:c r="B48" s="15" t="str">
        <x:v>Stanford HAI</x:v>
      </x:c>
      <x:c r="C48" s="15" t="str">
        <x:v>hai.stanford.edu</x:v>
      </x:c>
      <x:c r="D48" s="15" t="str">
        <x:v>Research / Academic</x:v>
      </x:c>
      <x:c r="E48" s="15" t="str">
        <x:v>Primary Source</x:v>
      </x:c>
      <x:c r="F48" s="15" t="str">
        <x:v>Yes</x:v>
      </x:c>
      <x:c r="G48" s="15" t="str">
        <x:v>Low</x:v>
      </x:c>
      <x:c r="H48" s="15" t="str">
        <x:v>Yes</x:v>
      </x:c>
      <x:c r="I48" s="15" t="str">
        <x:v>High</x:v>
      </x:c>
      <x:c r="J48" s="15" t="str">
        <x:v>Primary research and policy reports, including the AI Index; lower-frequency daily signal.</x:v>
      </x:c>
    </x:row>
    <x:row r="49">
      <x:c r="A49" s="15" t="str">
        <x:v>SRC-048</x:v>
      </x:c>
      <x:c r="B49" s="15" t="str">
        <x:v>GitHub Blog</x:v>
      </x:c>
      <x:c r="C49" s="15" t="str">
        <x:v>github.blog</x:v>
      </x:c>
      <x:c r="D49" s="15" t="str">
        <x:v>Technology News</x:v>
      </x:c>
      <x:c r="E49" s="15" t="str">
        <x:v>Primary Source</x:v>
      </x:c>
      <x:c r="F49" s="15" t="str">
        <x:v>Yes</x:v>
      </x:c>
      <x:c r="G49" s="15" t="str">
        <x:v>Low</x:v>
      </x:c>
      <x:c r="H49" s="15" t="str">
        <x:v>Yes</x:v>
      </x:c>
      <x:c r="I49" s="15" t="str">
        <x:v>High</x:v>
      </x:c>
      <x:c r="J49" s="15" t="str">
        <x:v>Primary source for GitHub Copilot and developer-platform AI announcements.</x:v>
      </x:c>
    </x:row>
    <x:row r="50">
      <x:c r="A50" s="15" t="str">
        <x:v>SRC-049</x:v>
      </x:c>
      <x:c r="B50" s="15" t="str">
        <x:v>NIST</x:v>
      </x:c>
      <x:c r="C50" s="15" t="str">
        <x:v>nist.gov</x:v>
      </x:c>
      <x:c r="D50" s="15" t="str">
        <x:v>Government / Regulation</x:v>
      </x:c>
      <x:c r="E50" s="15" t="str">
        <x:v>Primary Source</x:v>
      </x:c>
      <x:c r="F50" s="15" t="str">
        <x:v>Yes</x:v>
      </x:c>
      <x:c r="G50" s="15" t="str">
        <x:v>Medium</x:v>
      </x:c>
      <x:c r="H50" s="15" t="str">
        <x:v>Yes</x:v>
      </x:c>
      <x:c r="I50" s="15" t="str">
        <x:v>High</x:v>
      </x:c>
      <x:c r="J50" s="15" t="str">
        <x:v>Primary U.S. standards and AI risk-management guidance.</x:v>
      </x:c>
    </x:row>
    <x:row r="51">
      <x:c r="A51" s="15" t="str">
        <x:v>SRC-050</x:v>
      </x:c>
      <x:c r="B51" s="15" t="str">
        <x:v>Federal Register</x:v>
      </x:c>
      <x:c r="C51" s="15" t="str">
        <x:v>federalregister.gov</x:v>
      </x:c>
      <x:c r="D51" s="15" t="str">
        <x:v>Government / Regulation</x:v>
      </x:c>
      <x:c r="E51" s="15" t="str">
        <x:v>Primary Source</x:v>
      </x:c>
      <x:c r="F51" s="15" t="str">
        <x:v>Yes</x:v>
      </x:c>
      <x:c r="G51" s="15" t="str">
        <x:v>High</x:v>
      </x:c>
      <x:c r="H51" s="15" t="str">
        <x:v>Yes</x:v>
      </x:c>
      <x:c r="I51" s="15" t="str">
        <x:v>High</x:v>
      </x:c>
      <x:c r="J51" s="15" t="str">
        <x:v>Official U.S. rulemaking and notices; high-value for regulatory changes.</x:v>
      </x:c>
    </x:row>
    <x:row r="52">
      <x:c r="A52" s="15" t="str">
        <x:v>SRC-051</x:v>
      </x:c>
      <x:c r="B52" s="15" t="str">
        <x:v>FTC</x:v>
      </x:c>
      <x:c r="C52" s="15" t="str">
        <x:v>ftc.gov</x:v>
      </x:c>
      <x:c r="D52" s="15" t="str">
        <x:v>Government / Regulation</x:v>
      </x:c>
      <x:c r="E52" s="15" t="str">
        <x:v>Primary Source</x:v>
      </x:c>
      <x:c r="F52" s="15" t="str">
        <x:v>Yes</x:v>
      </x:c>
      <x:c r="G52" s="15" t="str">
        <x:v>High</x:v>
      </x:c>
      <x:c r="H52" s="15" t="str">
        <x:v>Yes</x:v>
      </x:c>
      <x:c r="I52" s="15" t="str">
        <x:v>High</x:v>
      </x:c>
      <x:c r="J52" s="15" t="str">
        <x:v>Primary source for AI-related consumer protection, competition, and enforcement actions.</x:v>
      </x:c>
    </x:row>
    <x:row r="53">
      <x:c r="A53" s="15" t="str">
        <x:v>SRC-052</x:v>
      </x:c>
      <x:c r="B53" s="15" t="str">
        <x:v>CISA</x:v>
      </x:c>
      <x:c r="C53" s="15" t="str">
        <x:v>cisa.gov</x:v>
      </x:c>
      <x:c r="D53" s="15" t="str">
        <x:v>Government / Regulation</x:v>
      </x:c>
      <x:c r="E53" s="15" t="str">
        <x:v>Primary Source</x:v>
      </x:c>
      <x:c r="F53" s="15" t="str">
        <x:v>Yes</x:v>
      </x:c>
      <x:c r="G53" s="15" t="str">
        <x:v>Medium</x:v>
      </x:c>
      <x:c r="H53" s="15" t="str">
        <x:v>Yes</x:v>
      </x:c>
      <x:c r="I53" s="15" t="str">
        <x:v>High</x:v>
      </x:c>
      <x:c r="J53" s="15" t="str">
        <x:v>Primary U.S. cyber alerts, guidance, and AI-security materials.</x:v>
      </x:c>
    </x:row>
    <x:row r="54">
      <x:c r="A54" s="15" t="str">
        <x:v>SRC-053</x:v>
      </x:c>
      <x:c r="B54" s="15" t="str">
        <x:v>White House</x:v>
      </x:c>
      <x:c r="C54" s="15" t="str">
        <x:v>whitehouse.gov</x:v>
      </x:c>
      <x:c r="D54" s="15" t="str">
        <x:v>Government / Regulation</x:v>
      </x:c>
      <x:c r="E54" s="15" t="str">
        <x:v>Primary Source</x:v>
      </x:c>
      <x:c r="F54" s="15" t="str">
        <x:v>Yes</x:v>
      </x:c>
      <x:c r="G54" s="15" t="str">
        <x:v>Low</x:v>
      </x:c>
      <x:c r="H54" s="15" t="str">
        <x:v>Yes</x:v>
      </x:c>
      <x:c r="I54" s="15" t="str">
        <x:v>High</x:v>
      </x:c>
      <x:c r="J54" s="15" t="str">
        <x:v>Official U.S. executive AI policy and major administration announcements.</x:v>
      </x:c>
    </x:row>
    <x:row r="55">
      <x:c r="A55" s="15" t="str">
        <x:v>SRC-054</x:v>
      </x:c>
      <x:c r="B55" s="15" t="str">
        <x:v>European AI Office</x:v>
      </x:c>
      <x:c r="C55" s="15" t="str">
        <x:v>digital-strategy.ec.europa.eu</x:v>
      </x:c>
      <x:c r="D55" s="15" t="str">
        <x:v>Government / Regulation</x:v>
      </x:c>
      <x:c r="E55" s="15" t="str">
        <x:v>Primary Source</x:v>
      </x:c>
      <x:c r="F55" s="15" t="str">
        <x:v>Yes</x:v>
      </x:c>
      <x:c r="G55" s="15" t="str">
        <x:v>Medium</x:v>
      </x:c>
      <x:c r="H55" s="15" t="str">
        <x:v>Yes</x:v>
      </x:c>
      <x:c r="I55" s="15" t="str">
        <x:v>High</x:v>
      </x:c>
      <x:c r="J55" s="15" t="str">
        <x:v>Primary source for EU AI Act implementation and AI Office guidance.</x:v>
      </x:c>
    </x:row>
    <x:row r="56">
      <x:c r="A56" s="15" t="str">
        <x:v>SRC-055</x:v>
      </x:c>
      <x:c r="B56" s="15" t="str">
        <x:v>European Commission</x:v>
      </x:c>
      <x:c r="C56" s="15" t="str">
        <x:v>ec.europa.eu</x:v>
      </x:c>
      <x:c r="D56" s="15" t="str">
        <x:v>Government / Regulation</x:v>
      </x:c>
      <x:c r="E56" s="15" t="str">
        <x:v>Primary Source</x:v>
      </x:c>
      <x:c r="F56" s="15" t="str">
        <x:v>Yes</x:v>
      </x:c>
      <x:c r="G56" s="15" t="str">
        <x:v>Medium</x:v>
      </x:c>
      <x:c r="H56" s="15" t="str">
        <x:v>Yes</x:v>
      </x:c>
      <x:c r="I56" s="15" t="str">
        <x:v>High</x:v>
      </x:c>
      <x:c r="J56" s="15" t="str">
        <x:v>Official EU AI, competition, digital-policy, and enforcement developments.</x:v>
      </x:c>
    </x:row>
    <x:row r="57">
      <x:c r="A57" s="15" t="str">
        <x:v>SRC-056</x:v>
      </x:c>
      <x:c r="B57" s="15" t="str">
        <x:v>Council of the European Union</x:v>
      </x:c>
      <x:c r="C57" s="15" t="str">
        <x:v>consilium.europa.eu</x:v>
      </x:c>
      <x:c r="D57" s="15" t="str">
        <x:v>Government / Regulation</x:v>
      </x:c>
      <x:c r="E57" s="15" t="str">
        <x:v>Primary Source</x:v>
      </x:c>
      <x:c r="F57" s="15" t="str">
        <x:v>Yes</x:v>
      </x:c>
      <x:c r="G57" s="15" t="str">
        <x:v>Low</x:v>
      </x:c>
      <x:c r="H57" s="15" t="str">
        <x:v>Yes</x:v>
      </x:c>
      <x:c r="I57" s="15" t="str">
        <x:v>High</x:v>
      </x:c>
      <x:c r="J57" s="15" t="str">
        <x:v>Official Council positions and actions; lower-frequency discovery input.</x:v>
      </x:c>
    </x:row>
    <x:row r="58">
      <x:c r="A58" s="15" t="str">
        <x:v>SRC-057</x:v>
      </x:c>
      <x:c r="B58" s="15" t="str">
        <x:v>UK AI Security Institute</x:v>
      </x:c>
      <x:c r="C58" s="15" t="str">
        <x:v>aisi.gov.uk</x:v>
      </x:c>
      <x:c r="D58" s="15" t="str">
        <x:v>Government / Regulation</x:v>
      </x:c>
      <x:c r="E58" s="15" t="str">
        <x:v>Primary Source</x:v>
      </x:c>
      <x:c r="F58" s="15" t="str">
        <x:v>Yes</x:v>
      </x:c>
      <x:c r="G58" s="15" t="str">
        <x:v>Low</x:v>
      </x:c>
      <x:c r="H58" s="15" t="str">
        <x:v>Yes</x:v>
      </x:c>
      <x:c r="I58" s="15" t="str">
        <x:v>High</x:v>
      </x:c>
      <x:c r="J58" s="15" t="str">
        <x:v>Primary source for UK frontier-model evaluation and AI security work.</x:v>
      </x:c>
    </x:row>
    <x:row r="59">
      <x:c r="A59" s="15" t="str">
        <x:v>SRC-058</x:v>
      </x:c>
      <x:c r="B59" s="15" t="str">
        <x:v>U.S. Department of Justice</x:v>
      </x:c>
      <x:c r="C59" s="15" t="str">
        <x:v>justice.gov</x:v>
      </x:c>
      <x:c r="D59" s="15" t="str">
        <x:v>Government / Regulation</x:v>
      </x:c>
      <x:c r="E59" s="15" t="str">
        <x:v>Primary Source</x:v>
      </x:c>
      <x:c r="F59" s="15" t="str">
        <x:v>Yes</x:v>
      </x:c>
      <x:c r="G59" s="15" t="str">
        <x:v>Low</x:v>
      </x:c>
      <x:c r="H59" s="15" t="str">
        <x:v>Yes</x:v>
      </x:c>
      <x:c r="I59" s="15" t="str">
        <x:v>High</x:v>
      </x:c>
      <x:c r="J59" s="15" t="str">
        <x:v>Official AI-related enforcement, competition, cyber, and national-security actions.</x:v>
      </x:c>
    </x:row>
    <x:row r="60">
      <x:c r="A60" s="15" t="str">
        <x:v>SRC-059</x:v>
      </x:c>
      <x:c r="B60" s="15" t="str">
        <x:v>CSET</x:v>
      </x:c>
      <x:c r="C60" s="15" t="str">
        <x:v>cset.georgetown.edu</x:v>
      </x:c>
      <x:c r="D60" s="15" t="str">
        <x:v>Policy / Governance</x:v>
      </x:c>
      <x:c r="E60" s="15" t="str">
        <x:v>Primary Source</x:v>
      </x:c>
      <x:c r="F60" s="15" t="str">
        <x:v>Yes</x:v>
      </x:c>
      <x:c r="G60" s="15" t="str">
        <x:v>Medium</x:v>
      </x:c>
      <x:c r="H60" s="15" t="str">
        <x:v>Yes</x:v>
      </x:c>
      <x:c r="I60" s="15" t="str">
        <x:v>High</x:v>
      </x:c>
      <x:c r="J60" s="15" t="str">
        <x:v>High-quality research on AI security, geopolitics, talent, and policy.</x:v>
      </x:c>
    </x:row>
    <x:row r="61">
      <x:c r="A61" s="15" t="str">
        <x:v>SRC-060</x:v>
      </x:c>
      <x:c r="B61" s="15" t="str">
        <x:v>AI Now Institute</x:v>
      </x:c>
      <x:c r="C61" s="15" t="str">
        <x:v>ainowinstitute.org</x:v>
      </x:c>
      <x:c r="D61" s="15" t="str">
        <x:v>Policy / Governance</x:v>
      </x:c>
      <x:c r="E61" s="15" t="str">
        <x:v>Primary Source</x:v>
      </x:c>
      <x:c r="F61" s="15" t="str">
        <x:v>Yes</x:v>
      </x:c>
      <x:c r="G61" s="15" t="str">
        <x:v>Low</x:v>
      </x:c>
      <x:c r="H61" s="15" t="str">
        <x:v>Yes</x:v>
      </x:c>
      <x:c r="I61" s="15" t="str">
        <x:v>High</x:v>
      </x:c>
      <x:c r="J61" s="15" t="str">
        <x:v>Primary policy research and advocacy on AI power, accountability, and societal impact.</x:v>
      </x:c>
    </x:row>
  </x:sheetData>
  <x:conditionalFormatting sqref="G2:G61">
    <x:cfRule type="expression" dxfId="0" priority="1">
      <x:formula>G2="High"</x:formula>
    </x:cfRule>
    <x:cfRule type="expression" dxfId="1" priority="2">
      <x:formula>G2="Medium"</x:formula>
    </x:cfRule>
    <x:cfRule type="expression" dxfId="2" priority="3">
      <x:formula>G2="Low"</x:formula>
    </x:cfRule>
  </x:conditionalFormatting>
  <x:dataValidations count="6">
    <x:dataValidation type="list" sqref="D2:D61">
      <x:formula1>Lists!$F$2:$F$11</x:formula1>
    </x:dataValidation>
    <x:dataValidation type="list" sqref="E2:E61">
      <x:formula1>Lists!$B$2:$B$5</x:formula1>
    </x:dataValidation>
    <x:dataValidation type="list" sqref="F2:F61">
      <x:formula1>Lists!$C$2:$C$3</x:formula1>
    </x:dataValidation>
    <x:dataValidation type="list" sqref="G2:G61">
      <x:formula1>Lists!$A$2:$A$4</x:formula1>
    </x:dataValidation>
    <x:dataValidation type="list" sqref="H2:H61">
      <x:formula1>Lists!$D$2:$D$4</x:formula1>
    </x:dataValidation>
    <x:dataValidation type="list" sqref="I2:I61">
      <x:formula1>Lists!$E$2:$E$4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53b836304d492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0" hidden="0" customWidth="1"/>
    <x:col min="3" max="3" width="12" hidden="0" customWidth="1"/>
    <x:col min="4" max="4" width="12" hidden="0" customWidth="1"/>
    <x:col min="5" max="5" width="12" hidden="0" customWidth="1"/>
    <x:col min="6" max="6" width="42" hidden="0" customWidth="1"/>
  </x:cols>
  <x:sheetData>
    <x:row r="1" ht="32" customHeight="1">
      <x:c r="A1" s="20" t="str">
        <x:v>AINWA Discovery Policy — V1</x:v>
      </x:c>
      <x:c r="B1" s="20"/>
      <x:c r="C1" s="20"/>
      <x:c r="D1" s="20"/>
      <x:c r="E1" s="20"/>
      <x:c r="F1" s="20"/>
    </x:row>
    <x:row r="3">
      <x:c r="A3" s="5" t="str">
        <x:v>Registry Size</x:v>
      </x:c>
      <x:c r="B3" s="5" t="str">
        <x:v>High</x:v>
      </x:c>
      <x:c r="C3" s="5" t="str">
        <x:v>Medium</x:v>
      </x:c>
      <x:c r="D3" s="5" t="str">
        <x:v>Low</x:v>
      </x:c>
      <x:c r="E3" s="5" t="str">
        <x:v>Enabled</x:v>
      </x:c>
      <x:c r="F3" s="5" t="str">
        <x:v>Purpose</x:v>
      </x:c>
    </x:row>
    <x:row r="4">
      <x:c r="A4" s="30" t="n">
        <x:f>COUNTA('AINWA Discovery Registry V2'!A2:A61)</x:f>
        <x:v>60</x:v>
      </x:c>
      <x:c r="B4" s="30" t="n">
        <x:f>COUNTIF('AINWA Discovery Registry V2'!G2:G61,"High")</x:f>
        <x:v>18</x:v>
      </x:c>
      <x:c r="C4" s="30" t="n">
        <x:f>COUNTIF('AINWA Discovery Registry V2'!G2:G61,"Medium")</x:f>
        <x:v>27</x:v>
      </x:c>
      <x:c r="D4" s="30" t="n">
        <x:f>COUNTIF('AINWA Discovery Registry V2'!G2:G61,"Low")</x:f>
        <x:v>15</x:v>
      </x:c>
      <x:c r="E4" s="30" t="n">
        <x:f>COUNTIF('AINWA Discovery Registry V2'!F2:F61,"Yes")</x:f>
        <x:v>60</x:v>
      </x:c>
      <x:c r="F4" s="26" t="str">
        <x:v>Cheap, ranked discovery before Claude analysis</x:v>
      </x:c>
    </x:row>
    <x:row r="6">
      <x:c r="A6" s="5" t="str">
        <x:v>Rule</x:v>
      </x:c>
      <x:c r="B6" s="5" t="str">
        <x:v>Policy</x:v>
      </x:c>
    </x:row>
    <x:row r="7">
      <x:c r="A7" s="34" t="str">
        <x:v>1</x:v>
      </x:c>
      <x:c r="B7" s="11" t="str">
        <x:v>AINWA checks the registry first. It does not roam the open web by default.</x:v>
      </x:c>
    </x:row>
    <x:row r="8">
      <x:c r="A8" s="34" t="str">
        <x:v>2</x:v>
      </x:c>
      <x:c r="B8" s="11" t="str">
        <x:v>High sources are checked every discovery run; Medium sources on a reduced cadence; Low sources as a daily/overflow sweep.</x:v>
      </x:c>
    </x:row>
    <x:row r="9">
      <x:c r="A9" s="34" t="str">
        <x:v>3</x:v>
      </x:c>
      <x:c r="B9" s="11" t="str">
        <x:v>Discovery Only sources can create leads, but AInetWatch never publishes or cites them as the final source.</x:v>
      </x:c>
    </x:row>
    <x:row r="10">
      <x:c r="A10" s="34" t="str">
        <x:v>4</x:v>
      </x:c>
      <x:c r="B10" s="11" t="str">
        <x:v>Before human review, each promising lead must resolve to a Primary Source or Original Reporting source whenever one exists.</x:v>
      </x:c>
    </x:row>
    <x:row r="11">
      <x:c r="A11" s="34" t="str">
        <x:v>5</x:v>
      </x:c>
      <x:c r="B11" s="11" t="str">
        <x:v>Use cheap ingestion first: RSS/feed or deterministic page checks, then recency/deduplication filters. Claude analyzes only the reduced candidate set.</x:v>
      </x:c>
    </x:row>
    <x:row r="12">
      <x:c r="A12" s="34" t="str">
        <x:v>6</x:v>
      </x:c>
      <x:c r="B12" s="11" t="str">
        <x:v>Paywalls do not disqualify original reporting. Prefer an equally authoritative accessible source when available, but do not downgrade a scoop merely because it is paywalled.</x:v>
      </x:c>
    </x:row>
    <x:row r="13">
      <x:c r="A13" s="34" t="str">
        <x:v>7</x:v>
      </x:c>
      <x:c r="B13" s="11" t="str">
        <x:v>Registry changes are human-controlled. AINWA may suggest enable/disable/priority changes from source performance, but never changes policy automatically.</x:v>
      </x:c>
    </x:row>
    <x:row r="15">
      <x:c r="A15" s="5" t="str">
        <x:v>Priority</x:v>
      </x:c>
      <x:c r="B15" s="5" t="str">
        <x:v>Meaning</x:v>
      </x:c>
    </x:row>
    <x:row r="16">
      <x:c r="A16" s="36" t="str">
        <x:v>High</x:v>
      </x:c>
      <x:c r="B16" s="11" t="str">
        <x:v>Check every discovery run. Reserved for the fastest/highest-yield discovery and authority sources.</x:v>
      </x:c>
    </x:row>
    <x:row r="17">
      <x:c r="A17" s="36" t="str">
        <x:v>Medium</x:v>
      </x:c>
      <x:c r="B17" s="11" t="str">
        <x:v>Check less often. Strong sources, but not necessary on every cycle.</x:v>
      </x:c>
    </x:row>
    <x:row r="18">
      <x:c r="A18" s="36" t="str">
        <x:v>Low</x:v>
      </x:c>
      <x:c r="B18" s="11" t="str">
        <x:v>Daily or overflow sweep. Useful niche or lower-frequency sources; avoid spending AI tokens unless a candidate passes cheap filters.</x:v>
      </x:c>
    </x:row>
    <x:row r="20">
      <x:c r="A20" s="5" t="str">
        <x:v>V2 Decisions Locked</x:v>
      </x:c>
      <x:c r="B20" s="5" t="str">
        <x:v>Value</x:v>
      </x:c>
    </x:row>
    <x:row r="21">
      <x:c r="A21" s="11" t="str">
        <x:v>Hugging Face</x:v>
      </x:c>
      <x:c r="B21" s="11" t="str">
        <x:v>Mixed / Citation Conditional</x:v>
      </x:c>
    </x:row>
    <x:row r="22">
      <x:c r="A22" s="11" t="str">
        <x:v>Tech Policy Press</x:v>
      </x:c>
      <x:c r="B22" s="11" t="str">
        <x:v>Original Reporting / Citation Yes</x:v>
      </x:c>
    </x:row>
    <x:row r="23">
      <x:c r="A23" s="11" t="str">
        <x:v>VentureBeat</x:v>
      </x:c>
      <x:c r="B23" s="11" t="str">
        <x:v>Reliability Medium</x:v>
      </x:c>
    </x:row>
    <x:row r="24">
      <x:c r="A24" s="11" t="str">
        <x:v>BleepingComputer</x:v>
      </x:c>
      <x:c r="B24" s="11" t="str">
        <x:v>Reliability High</x:v>
      </x:c>
    </x:row>
    <x:row r="25">
      <x:c r="A25" s="11" t="str">
        <x:v>Techmeme</x:v>
      </x:c>
      <x:c r="B25" s="11" t="str">
        <x:v>Discovery Only / Citation No</x:v>
      </x:c>
    </x:row>
    <x:row r="27">
      <x:c r="A27" s="40" t="str">
        <x:v>Production note</x:v>
      </x:c>
      <x:c r="B27" s="40" t="str">
        <x:v>After human approval, export this registry to version-controlled source-registry.yaml. Excel remains the easy editorial control surface; production reads the YAML.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5" t="str">
        <x:v>Priority</x:v>
      </x:c>
      <x:c r="B1" s="5" t="str">
        <x:v>Role</x:v>
      </x:c>
      <x:c r="C1" s="5" t="str">
        <x:v>Enabled</x:v>
      </x:c>
      <x:c r="D1" s="5" t="str">
        <x:v>Citation</x:v>
      </x:c>
      <x:c r="E1" s="5" t="str">
        <x:v>Reliability</x:v>
      </x:c>
      <x:c r="F1" s="5" t="str">
        <x:v>Category</x:v>
      </x:c>
    </x:row>
    <x:row r="2">
      <x:c r="A2" t="str">
        <x:v>High</x:v>
      </x:c>
      <x:c r="B2" t="str">
        <x:v>Discovery Only</x:v>
      </x:c>
      <x:c r="C2" t="str">
        <x:v>Yes</x:v>
      </x:c>
      <x:c r="D2" t="str">
        <x:v>Yes</x:v>
      </x:c>
      <x:c r="E2" t="str">
        <x:v>High</x:v>
      </x:c>
      <x:c r="F2" t="str">
        <x:v>AI News / Discovery</x:v>
      </x:c>
    </x:row>
    <x:row r="3">
      <x:c r="A3" t="str">
        <x:v>Medium</x:v>
      </x:c>
      <x:c r="B3" t="str">
        <x:v>Original Reporting</x:v>
      </x:c>
      <x:c r="C3" t="str">
        <x:v>No</x:v>
      </x:c>
      <x:c r="D3" t="str">
        <x:v>No</x:v>
      </x:c>
      <x:c r="E3" t="str">
        <x:v>Medium</x:v>
      </x:c>
      <x:c r="F3" t="str">
        <x:v>General News</x:v>
      </x:c>
    </x:row>
    <x:row r="4">
      <x:c r="A4" t="str">
        <x:v>Low</x:v>
      </x:c>
      <x:c r="B4" t="str">
        <x:v>Primary Source</x:v>
      </x:c>
      <x:c r="C4"/>
      <x:c r="D4" t="str">
        <x:v>Conditional</x:v>
      </x:c>
      <x:c r="E4" t="str">
        <x:v>Low</x:v>
      </x:c>
      <x:c r="F4" t="str">
        <x:v>Technology News</x:v>
      </x:c>
    </x:row>
    <x:row r="5">
      <x:c r="A5"/>
      <x:c r="B5" t="str">
        <x:v>Mixed</x:v>
      </x:c>
      <x:c r="C5"/>
      <x:c r="D5"/>
      <x:c r="E5"/>
      <x:c r="F5" t="str">
        <x:v>Business / Finance</x:v>
      </x:c>
    </x:row>
    <x:row r="6">
      <x:c r="A6"/>
      <x:c r="B6"/>
      <x:c r="C6"/>
      <x:c r="D6"/>
      <x:c r="E6"/>
      <x:c r="F6" t="str">
        <x:v>Primary AI Lab / Company</x:v>
      </x:c>
    </x:row>
    <x:row r="7">
      <x:c r="A7"/>
      <x:c r="B7"/>
      <x:c r="C7"/>
      <x:c r="D7"/>
      <x:c r="E7"/>
      <x:c r="F7" t="str">
        <x:v>Government / Regulation</x:v>
      </x:c>
    </x:row>
    <x:row r="8">
      <x:c r="A8"/>
      <x:c r="B8"/>
      <x:c r="C8"/>
      <x:c r="D8"/>
      <x:c r="E8"/>
      <x:c r="F8" t="str">
        <x:v>Research / Academic</x:v>
      </x:c>
    </x:row>
    <x:row r="9">
      <x:c r="A9"/>
      <x:c r="B9"/>
      <x:c r="C9"/>
      <x:c r="D9"/>
      <x:c r="E9"/>
      <x:c r="F9" t="str">
        <x:v>Cybersecurity</x:v>
      </x:c>
    </x:row>
    <x:row r="10">
      <x:c r="A10"/>
      <x:c r="B10"/>
      <x:c r="C10"/>
      <x:c r="D10"/>
      <x:c r="E10"/>
      <x:c r="F10" t="str">
        <x:v>Policy / Governance</x:v>
      </x:c>
    </x:row>
    <x:row r="11">
      <x:c r="A11"/>
      <x:c r="B11"/>
      <x:c r="C11"/>
      <x:c r="D11"/>
      <x:c r="E11"/>
      <x:c r="F11" t="str">
        <x:v>Trade / Industry Media</x:v>
      </x:c>
    </x:row>
  </x:sheetData>
  <x:pageMargins left="0.7" right="0.7" top="0.75" bottom="0.75" header="0.3" footer="0.3"/>
</x:worksheet>
</file>